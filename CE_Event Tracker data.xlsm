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defaultThemeVersion="202300"/>
  <mc:AlternateContent xmlns:mc="http://schemas.openxmlformats.org/markup-compatibility/2006">
    <mc:Choice Requires="x15">
      <x15ac:absPath xmlns:x15ac="http://schemas.microsoft.com/office/spreadsheetml/2010/11/ac" url="/Users/lucyndaponce/Desktop/school/IBM6800/ONT_Dashboard-1/"/>
    </mc:Choice>
  </mc:AlternateContent>
  <xr:revisionPtr revIDLastSave="0" documentId="13_ncr:1_{D58D323C-20EE-ED41-9EB4-47DFA87B5D49}" xr6:coauthVersionLast="47" xr6:coauthVersionMax="47" xr10:uidLastSave="{00000000-0000-0000-0000-000000000000}"/>
  <bookViews>
    <workbookView xWindow="0" yWindow="500" windowWidth="28800" windowHeight="16220" activeTab="1" xr2:uid="{00000000-000D-0000-FFFF-FFFF00000000}"/>
  </bookViews>
  <sheets>
    <sheet name="Sheet2" sheetId="10" r:id="rId1"/>
    <sheet name="CE_Event Tracker" sheetId="1" r:id="rId2"/>
    <sheet name="FY 24-25 CE Cities-Engagements" sheetId="8" r:id="rId3"/>
  </sheets>
  <definedNames>
    <definedName name="_xlnm._FilterDatabase" localSheetId="2" hidden="1">'FY 24-25 CE Cities-Engagements'!$A$1:$O$1</definedName>
  </definedNames>
  <calcPr calcId="191029"/>
  <pivotCaches>
    <pivotCache cacheId="33"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91" i="1" l="1"/>
  <c r="J1101" i="1"/>
  <c r="J1181" i="1"/>
  <c r="J2" i="1"/>
  <c r="J1180" i="1"/>
  <c r="J972" i="1"/>
  <c r="J1010" i="1"/>
  <c r="J108" i="1"/>
  <c r="J834" i="1"/>
  <c r="J764" i="1"/>
  <c r="J799" i="1"/>
  <c r="J835" i="1"/>
  <c r="J892" i="1"/>
  <c r="J893" i="1"/>
  <c r="J109" i="1"/>
  <c r="J110" i="1"/>
  <c r="J111" i="1"/>
  <c r="J112" i="1"/>
  <c r="J778" i="1"/>
  <c r="J113" i="1"/>
  <c r="J114" i="1"/>
  <c r="J107" i="1"/>
  <c r="J810" i="1"/>
  <c r="J115" i="1"/>
  <c r="J1095" i="1"/>
  <c r="J116" i="1"/>
  <c r="J117" i="1"/>
  <c r="J118" i="1"/>
  <c r="J1011" i="1"/>
  <c r="J119" i="1"/>
  <c r="J1005" i="1"/>
  <c r="J973" i="1"/>
  <c r="J974" i="1"/>
  <c r="J1068" i="1"/>
  <c r="J1034" i="1"/>
  <c r="J120" i="1"/>
  <c r="J121" i="1"/>
  <c r="J962" i="1"/>
  <c r="J1088" i="1"/>
  <c r="J122" i="1"/>
  <c r="J1168" i="1"/>
  <c r="J1175" i="1"/>
  <c r="J3" i="1"/>
  <c r="J4" i="1"/>
  <c r="J5" i="1"/>
  <c r="J6" i="1"/>
  <c r="J7" i="1"/>
  <c r="J99"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123" i="1"/>
  <c r="J124" i="1"/>
  <c r="J125" i="1"/>
  <c r="J85" i="1"/>
  <c r="J87" i="1"/>
  <c r="J82" i="1"/>
  <c r="J83" i="1"/>
  <c r="J126" i="1"/>
  <c r="J127" i="1"/>
  <c r="J128" i="1"/>
  <c r="J129" i="1"/>
  <c r="J130" i="1"/>
  <c r="J88" i="1"/>
  <c r="J131" i="1"/>
  <c r="J132" i="1"/>
  <c r="J133" i="1"/>
  <c r="J836" i="1"/>
  <c r="J134" i="1"/>
  <c r="J103" i="1"/>
  <c r="J135" i="1"/>
  <c r="J136" i="1"/>
  <c r="J137" i="1"/>
  <c r="J800" i="1"/>
  <c r="J89" i="1"/>
  <c r="J93" i="1"/>
  <c r="J94" i="1"/>
  <c r="J95" i="1"/>
  <c r="J100" i="1"/>
  <c r="J138" i="1"/>
  <c r="J139" i="1"/>
  <c r="J140" i="1"/>
  <c r="J141" i="1"/>
  <c r="J142" i="1"/>
  <c r="J143" i="1"/>
  <c r="J144" i="1"/>
  <c r="J145" i="1"/>
  <c r="J146" i="1"/>
  <c r="J147" i="1"/>
  <c r="J148" i="1"/>
  <c r="J149" i="1"/>
  <c r="J150" i="1"/>
  <c r="J151" i="1"/>
  <c r="J152" i="1"/>
  <c r="J92" i="1"/>
  <c r="J153" i="1"/>
  <c r="J154" i="1"/>
  <c r="J155" i="1"/>
  <c r="J156" i="1"/>
  <c r="J157" i="1"/>
  <c r="J158" i="1"/>
  <c r="J868" i="1"/>
  <c r="J98" i="1"/>
  <c r="J159" i="1"/>
  <c r="J160" i="1"/>
  <c r="J161" i="1"/>
  <c r="J162" i="1"/>
  <c r="J163" i="1"/>
  <c r="J84" i="1"/>
  <c r="J96" i="1"/>
  <c r="J97" i="1"/>
  <c r="J164" i="1"/>
  <c r="J165" i="1"/>
  <c r="J166" i="1"/>
  <c r="J167" i="1"/>
  <c r="J168" i="1"/>
  <c r="J169" i="1"/>
  <c r="J170" i="1"/>
  <c r="J171" i="1"/>
  <c r="J172" i="1"/>
  <c r="J173" i="1"/>
  <c r="J174" i="1"/>
  <c r="J175" i="1"/>
  <c r="J176" i="1"/>
  <c r="J177" i="1"/>
  <c r="J178" i="1"/>
  <c r="J779" i="1"/>
  <c r="J780" i="1"/>
  <c r="J781" i="1"/>
  <c r="J782" i="1"/>
  <c r="J783" i="1"/>
  <c r="J827" i="1"/>
  <c r="J828" i="1"/>
  <c r="J907" i="1"/>
  <c r="J908" i="1"/>
  <c r="J963" i="1"/>
  <c r="J179" i="1"/>
  <c r="J180" i="1"/>
  <c r="J801" i="1"/>
  <c r="J181" i="1"/>
  <c r="J182" i="1"/>
  <c r="J183" i="1"/>
  <c r="J950" i="1"/>
  <c r="J184" i="1"/>
  <c r="J185" i="1"/>
  <c r="J186" i="1"/>
  <c r="J187" i="1"/>
  <c r="J188" i="1"/>
  <c r="J189" i="1"/>
  <c r="J190" i="1"/>
  <c r="J957" i="1"/>
  <c r="J90" i="1"/>
  <c r="J101"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765" i="1"/>
  <c r="J837" i="1"/>
  <c r="J838" i="1"/>
  <c r="J839" i="1"/>
  <c r="J871" i="1"/>
  <c r="J872" i="1"/>
  <c r="J937" i="1"/>
  <c r="J938" i="1"/>
  <c r="J975" i="1"/>
  <c r="J976" i="1"/>
  <c r="J977" i="1"/>
  <c r="J252" i="1"/>
  <c r="J253" i="1"/>
  <c r="J254" i="1"/>
  <c r="J255" i="1"/>
  <c r="J901"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811" i="1"/>
  <c r="J812" i="1"/>
  <c r="J813" i="1"/>
  <c r="J814" i="1"/>
  <c r="J832" i="1"/>
  <c r="J859" i="1"/>
  <c r="J873" i="1"/>
  <c r="J874" i="1"/>
  <c r="J934" i="1"/>
  <c r="J935" i="1"/>
  <c r="J996" i="1"/>
  <c r="J1012" i="1"/>
  <c r="J1129" i="1"/>
  <c r="J826" i="1"/>
  <c r="J294" i="1"/>
  <c r="J295" i="1"/>
  <c r="J296" i="1"/>
  <c r="J297" i="1"/>
  <c r="J298" i="1"/>
  <c r="J809" i="1"/>
  <c r="J902" i="1"/>
  <c r="J102" i="1"/>
  <c r="J104"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757" i="1"/>
  <c r="J784" i="1"/>
  <c r="J785" i="1"/>
  <c r="J786" i="1"/>
  <c r="J840" i="1"/>
  <c r="J841" i="1"/>
  <c r="J842" i="1"/>
  <c r="J843" i="1"/>
  <c r="J844" i="1"/>
  <c r="J875" i="1"/>
  <c r="J876" i="1"/>
  <c r="J877" i="1"/>
  <c r="J909" i="1"/>
  <c r="J910" i="1"/>
  <c r="J911" i="1"/>
  <c r="J912" i="1"/>
  <c r="J913" i="1"/>
  <c r="J914" i="1"/>
  <c r="J964" i="1"/>
  <c r="J1001" i="1"/>
  <c r="J1002" i="1"/>
  <c r="J1013" i="1"/>
  <c r="J1014" i="1"/>
  <c r="J1039" i="1"/>
  <c r="J1040" i="1"/>
  <c r="J1041" i="1"/>
  <c r="J1042" i="1"/>
  <c r="J1043" i="1"/>
  <c r="J346" i="1"/>
  <c r="J347" i="1"/>
  <c r="J348" i="1"/>
  <c r="J349" i="1"/>
  <c r="J350" i="1"/>
  <c r="J351" i="1"/>
  <c r="J352" i="1"/>
  <c r="J353" i="1"/>
  <c r="J354" i="1"/>
  <c r="J355" i="1"/>
  <c r="J356" i="1"/>
  <c r="J357" i="1"/>
  <c r="J358" i="1"/>
  <c r="J359" i="1"/>
  <c r="J360" i="1"/>
  <c r="J361" i="1"/>
  <c r="J362" i="1"/>
  <c r="J363" i="1"/>
  <c r="J364" i="1"/>
  <c r="J365" i="1"/>
  <c r="J366" i="1"/>
  <c r="J367" i="1"/>
  <c r="J755" i="1"/>
  <c r="J772" i="1"/>
  <c r="J773" i="1"/>
  <c r="J774" i="1"/>
  <c r="J824" i="1"/>
  <c r="J833" i="1"/>
  <c r="J863" i="1"/>
  <c r="J864" i="1"/>
  <c r="J905" i="1"/>
  <c r="J951" i="1"/>
  <c r="J952" i="1"/>
  <c r="J953" i="1"/>
  <c r="J954" i="1"/>
  <c r="J1004" i="1"/>
  <c r="J1015" i="1"/>
  <c r="J1038"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802" i="1"/>
  <c r="J831" i="1"/>
  <c r="J845" i="1"/>
  <c r="J846" i="1"/>
  <c r="J847" i="1"/>
  <c r="J894" i="1"/>
  <c r="J895" i="1"/>
  <c r="J896" i="1"/>
  <c r="J897" i="1"/>
  <c r="J978" i="1"/>
  <c r="J1053" i="1"/>
  <c r="J399" i="1"/>
  <c r="J400" i="1"/>
  <c r="J401" i="1"/>
  <c r="J402" i="1"/>
  <c r="J403" i="1"/>
  <c r="J404" i="1"/>
  <c r="J405" i="1"/>
  <c r="J406" i="1"/>
  <c r="J407" i="1"/>
  <c r="J408" i="1"/>
  <c r="J409" i="1"/>
  <c r="J410" i="1"/>
  <c r="J411" i="1"/>
  <c r="J412" i="1"/>
  <c r="J413" i="1"/>
  <c r="J414" i="1"/>
  <c r="J415" i="1"/>
  <c r="J416" i="1"/>
  <c r="J417" i="1"/>
  <c r="J418" i="1"/>
  <c r="J787" i="1"/>
  <c r="J788" i="1"/>
  <c r="J789" i="1"/>
  <c r="J861" i="1"/>
  <c r="J915" i="1"/>
  <c r="J916" i="1"/>
  <c r="J917" i="1"/>
  <c r="J918" i="1"/>
  <c r="J1006" i="1"/>
  <c r="J1036" i="1"/>
  <c r="J1072" i="1"/>
  <c r="J1096" i="1"/>
  <c r="J898" i="1"/>
  <c r="J419" i="1"/>
  <c r="J420" i="1"/>
  <c r="J421" i="1"/>
  <c r="J422" i="1"/>
  <c r="J423" i="1"/>
  <c r="J424" i="1"/>
  <c r="J425" i="1"/>
  <c r="J426" i="1"/>
  <c r="J427" i="1"/>
  <c r="J428" i="1"/>
  <c r="J429" i="1"/>
  <c r="J430" i="1"/>
  <c r="J431" i="1"/>
  <c r="J432" i="1"/>
  <c r="J433" i="1"/>
  <c r="J434" i="1"/>
  <c r="J435" i="1"/>
  <c r="J436" i="1"/>
  <c r="J815" i="1"/>
  <c r="J816" i="1"/>
  <c r="J817" i="1"/>
  <c r="J848" i="1"/>
  <c r="J878" i="1"/>
  <c r="J879" i="1"/>
  <c r="J880" i="1"/>
  <c r="J881" i="1"/>
  <c r="J939" i="1"/>
  <c r="J940" i="1"/>
  <c r="J941" i="1"/>
  <c r="J971" i="1"/>
  <c r="J997" i="1"/>
  <c r="J998" i="1"/>
  <c r="J1007" i="1"/>
  <c r="J1016" i="1"/>
  <c r="J1017" i="1"/>
  <c r="J1018" i="1"/>
  <c r="J1019" i="1"/>
  <c r="J1089" i="1"/>
  <c r="J437" i="1"/>
  <c r="J438" i="1"/>
  <c r="J439" i="1"/>
  <c r="J440" i="1"/>
  <c r="J441" i="1"/>
  <c r="J442" i="1"/>
  <c r="J443" i="1"/>
  <c r="J444" i="1"/>
  <c r="J445" i="1"/>
  <c r="J446" i="1"/>
  <c r="J1035" i="1"/>
  <c r="J447" i="1"/>
  <c r="J448" i="1"/>
  <c r="J449" i="1"/>
  <c r="J450" i="1"/>
  <c r="J451" i="1"/>
  <c r="J452" i="1"/>
  <c r="J453" i="1"/>
  <c r="J766" i="1"/>
  <c r="J767" i="1"/>
  <c r="J849" i="1"/>
  <c r="J919" i="1"/>
  <c r="J979" i="1"/>
  <c r="J980" i="1"/>
  <c r="J981" i="1"/>
  <c r="J1044" i="1"/>
  <c r="J1045" i="1"/>
  <c r="J1073" i="1"/>
  <c r="J1102" i="1"/>
  <c r="J1103" i="1"/>
  <c r="J1126" i="1"/>
  <c r="J1141" i="1"/>
  <c r="J454" i="1"/>
  <c r="J455" i="1"/>
  <c r="J456" i="1"/>
  <c r="J457" i="1"/>
  <c r="J458" i="1"/>
  <c r="J459" i="1"/>
  <c r="J460" i="1"/>
  <c r="J865" i="1"/>
  <c r="J1008" i="1"/>
  <c r="J1065" i="1"/>
  <c r="J1138" i="1"/>
  <c r="J958" i="1"/>
  <c r="J461" i="1"/>
  <c r="J462" i="1"/>
  <c r="J463" i="1"/>
  <c r="J790" i="1"/>
  <c r="J791" i="1"/>
  <c r="J920" i="1"/>
  <c r="J965" i="1"/>
  <c r="J999" i="1"/>
  <c r="J1020" i="1"/>
  <c r="J1051" i="1"/>
  <c r="J1074" i="1"/>
  <c r="J1075" i="1"/>
  <c r="J1098" i="1"/>
  <c r="J1142" i="1"/>
  <c r="J1143" i="1"/>
  <c r="J1144" i="1"/>
  <c r="J1145" i="1"/>
  <c r="J1146" i="1"/>
  <c r="J464" i="1"/>
  <c r="J465" i="1"/>
  <c r="J466" i="1"/>
  <c r="J467" i="1"/>
  <c r="J468" i="1"/>
  <c r="J469" i="1"/>
  <c r="J470" i="1"/>
  <c r="J471" i="1"/>
  <c r="J472" i="1"/>
  <c r="J473" i="1"/>
  <c r="J1078" i="1"/>
  <c r="J1079" i="1"/>
  <c r="J1104" i="1"/>
  <c r="J1105" i="1"/>
  <c r="J1136" i="1"/>
  <c r="J1150" i="1"/>
  <c r="J1151" i="1"/>
  <c r="J1166" i="1"/>
  <c r="J474" i="1"/>
  <c r="J475" i="1"/>
  <c r="J476" i="1"/>
  <c r="J477" i="1"/>
  <c r="J478" i="1"/>
  <c r="J479" i="1"/>
  <c r="J480" i="1"/>
  <c r="J756" i="1"/>
  <c r="J904" i="1"/>
  <c r="J942" i="1"/>
  <c r="J982" i="1"/>
  <c r="J983" i="1"/>
  <c r="J984" i="1"/>
  <c r="J1021" i="1"/>
  <c r="J1022" i="1"/>
  <c r="J1023" i="1"/>
  <c r="J1024" i="1"/>
  <c r="J1025" i="1"/>
  <c r="J1026" i="1"/>
  <c r="J1027" i="1"/>
  <c r="J1054" i="1"/>
  <c r="J1055" i="1"/>
  <c r="J1056" i="1"/>
  <c r="J1057" i="1"/>
  <c r="J1069" i="1"/>
  <c r="J1090" i="1"/>
  <c r="J1106" i="1"/>
  <c r="J1107" i="1"/>
  <c r="J1108" i="1"/>
  <c r="J1109" i="1"/>
  <c r="J1110" i="1"/>
  <c r="J1111" i="1"/>
  <c r="J1112" i="1"/>
  <c r="J1113" i="1"/>
  <c r="J1114" i="1"/>
  <c r="J1115" i="1"/>
  <c r="J1130" i="1"/>
  <c r="J1131" i="1"/>
  <c r="J1139" i="1"/>
  <c r="J1140" i="1"/>
  <c r="J1154" i="1"/>
  <c r="J1137" i="1"/>
  <c r="J481" i="1"/>
  <c r="J482" i="1"/>
  <c r="J792" i="1"/>
  <c r="J1046" i="1"/>
  <c r="J483" i="1"/>
  <c r="J758" i="1"/>
  <c r="J1052" i="1"/>
  <c r="J1091" i="1"/>
  <c r="J1123" i="1"/>
  <c r="J484" i="1"/>
  <c r="J485" i="1"/>
  <c r="J486" i="1"/>
  <c r="J487" i="1"/>
  <c r="J488" i="1"/>
  <c r="J489" i="1"/>
  <c r="J793" i="1"/>
  <c r="J921" i="1"/>
  <c r="J922" i="1"/>
  <c r="J943" i="1"/>
  <c r="J1028" i="1"/>
  <c r="J1029" i="1"/>
  <c r="J1030" i="1"/>
  <c r="J1047" i="1"/>
  <c r="J1048" i="1"/>
  <c r="J1064" i="1"/>
  <c r="J1070" i="1"/>
  <c r="J1116" i="1"/>
  <c r="J1147" i="1"/>
  <c r="J1169" i="1"/>
  <c r="J1170" i="1"/>
  <c r="J490" i="1"/>
  <c r="J1066" i="1"/>
  <c r="J1067" i="1"/>
  <c r="J1094" i="1"/>
  <c r="J1099" i="1"/>
  <c r="J1100" i="1"/>
  <c r="J491" i="1"/>
  <c r="J492" i="1"/>
  <c r="J493" i="1"/>
  <c r="J944" i="1"/>
  <c r="J985" i="1"/>
  <c r="J986" i="1"/>
  <c r="J987" i="1"/>
  <c r="J1058" i="1"/>
  <c r="J1080" i="1"/>
  <c r="J1081" i="1"/>
  <c r="J1082" i="1"/>
  <c r="J1083" i="1"/>
  <c r="J1117" i="1"/>
  <c r="J1118" i="1"/>
  <c r="J1124" i="1"/>
  <c r="J1155" i="1"/>
  <c r="J1156" i="1"/>
  <c r="J1157" i="1"/>
  <c r="J1158" i="1"/>
  <c r="J1172" i="1"/>
  <c r="J1184" i="1"/>
  <c r="J1125" i="1"/>
  <c r="J1119" i="1"/>
  <c r="J1120" i="1"/>
  <c r="J1132" i="1"/>
  <c r="J1133" i="1"/>
  <c r="J1134" i="1"/>
  <c r="J1161" i="1"/>
  <c r="J1164" i="1"/>
  <c r="J494" i="1"/>
  <c r="J495" i="1"/>
  <c r="J496" i="1"/>
  <c r="J923" i="1"/>
  <c r="J1177" i="1"/>
  <c r="J1182" i="1"/>
  <c r="J497" i="1"/>
  <c r="J498" i="1"/>
  <c r="J866" i="1"/>
  <c r="J499" i="1"/>
  <c r="J500" i="1"/>
  <c r="J988" i="1"/>
  <c r="J1167" i="1"/>
  <c r="J501" i="1"/>
  <c r="J502" i="1"/>
  <c r="J775" i="1"/>
  <c r="J807" i="1"/>
  <c r="J850" i="1"/>
  <c r="J1152" i="1"/>
  <c r="J803" i="1"/>
  <c r="J1185" i="1"/>
  <c r="J503" i="1"/>
  <c r="J882" i="1"/>
  <c r="J883" i="1"/>
  <c r="J1183" i="1"/>
  <c r="J504" i="1"/>
  <c r="J43" i="1"/>
  <c r="J44" i="1"/>
  <c r="J45" i="1"/>
  <c r="J46" i="1"/>
  <c r="J505" i="1"/>
  <c r="J506" i="1"/>
  <c r="J507" i="1"/>
  <c r="J508" i="1"/>
  <c r="J509" i="1"/>
  <c r="J510" i="1"/>
  <c r="J511" i="1"/>
  <c r="J512" i="1"/>
  <c r="J513" i="1"/>
  <c r="J514" i="1"/>
  <c r="J515" i="1"/>
  <c r="J516" i="1"/>
  <c r="J517" i="1"/>
  <c r="J518" i="1"/>
  <c r="J519" i="1"/>
  <c r="J520" i="1"/>
  <c r="J521" i="1"/>
  <c r="J522" i="1"/>
  <c r="J523" i="1"/>
  <c r="J524" i="1"/>
  <c r="J525" i="1"/>
  <c r="J818" i="1"/>
  <c r="J526" i="1"/>
  <c r="J527" i="1"/>
  <c r="J528" i="1"/>
  <c r="J529" i="1"/>
  <c r="J530" i="1"/>
  <c r="J531" i="1"/>
  <c r="J532" i="1"/>
  <c r="J533" i="1"/>
  <c r="J534" i="1"/>
  <c r="J535" i="1"/>
  <c r="J536" i="1"/>
  <c r="J537" i="1"/>
  <c r="J794" i="1"/>
  <c r="J851" i="1"/>
  <c r="J869" i="1"/>
  <c r="J989" i="1"/>
  <c r="J538" i="1"/>
  <c r="J539" i="1"/>
  <c r="J540" i="1"/>
  <c r="J541" i="1"/>
  <c r="J542" i="1"/>
  <c r="J543" i="1"/>
  <c r="J544" i="1"/>
  <c r="J545" i="1"/>
  <c r="J546" i="1"/>
  <c r="J547" i="1"/>
  <c r="J548" i="1"/>
  <c r="J549" i="1"/>
  <c r="J550" i="1"/>
  <c r="J551" i="1"/>
  <c r="J552" i="1"/>
  <c r="J553" i="1"/>
  <c r="J554" i="1"/>
  <c r="J555" i="1"/>
  <c r="J556" i="1"/>
  <c r="J557" i="1"/>
  <c r="J829" i="1"/>
  <c r="J830" i="1"/>
  <c r="J884" i="1"/>
  <c r="J924" i="1"/>
  <c r="J966" i="1"/>
  <c r="J558" i="1"/>
  <c r="J559" i="1"/>
  <c r="J560" i="1"/>
  <c r="J561" i="1"/>
  <c r="J562" i="1"/>
  <c r="J852" i="1"/>
  <c r="J563" i="1"/>
  <c r="J564" i="1"/>
  <c r="J565" i="1"/>
  <c r="J959" i="1"/>
  <c r="J960" i="1"/>
  <c r="J961" i="1"/>
  <c r="J566" i="1"/>
  <c r="J567" i="1"/>
  <c r="J568" i="1"/>
  <c r="J569" i="1"/>
  <c r="J570" i="1"/>
  <c r="J571" i="1"/>
  <c r="J572" i="1"/>
  <c r="J885" i="1"/>
  <c r="J886" i="1"/>
  <c r="J945" i="1"/>
  <c r="J990" i="1"/>
  <c r="J991" i="1"/>
  <c r="J573" i="1"/>
  <c r="J574" i="1"/>
  <c r="J819" i="1"/>
  <c r="J887" i="1"/>
  <c r="J956" i="1"/>
  <c r="J1031" i="1"/>
  <c r="J575" i="1"/>
  <c r="J576" i="1"/>
  <c r="J577" i="1"/>
  <c r="J578" i="1"/>
  <c r="J579" i="1"/>
  <c r="J580" i="1"/>
  <c r="J581" i="1"/>
  <c r="J582" i="1"/>
  <c r="J583" i="1"/>
  <c r="J967" i="1"/>
  <c r="J1049" i="1"/>
  <c r="J584" i="1"/>
  <c r="J585" i="1"/>
  <c r="J586" i="1"/>
  <c r="J955" i="1"/>
  <c r="J587" i="1"/>
  <c r="J588" i="1"/>
  <c r="J589" i="1"/>
  <c r="J1084" i="1"/>
  <c r="J590" i="1"/>
  <c r="J591" i="1"/>
  <c r="J592" i="1"/>
  <c r="J593" i="1"/>
  <c r="J1032" i="1"/>
  <c r="J870" i="1"/>
  <c r="J1135" i="1"/>
  <c r="J1148" i="1"/>
  <c r="J594" i="1"/>
  <c r="J1085" i="1"/>
  <c r="J595" i="1"/>
  <c r="J1086" i="1"/>
  <c r="J47" i="1"/>
  <c r="J48" i="1"/>
  <c r="J49" i="1"/>
  <c r="J50" i="1"/>
  <c r="J51" i="1"/>
  <c r="J52" i="1"/>
  <c r="J53" i="1"/>
  <c r="J54" i="1"/>
  <c r="J55" i="1"/>
  <c r="J56" i="1"/>
  <c r="J57" i="1"/>
  <c r="J58" i="1"/>
  <c r="J59" i="1"/>
  <c r="J60" i="1"/>
  <c r="J61" i="1"/>
  <c r="J62" i="1"/>
  <c r="J63" i="1"/>
  <c r="J64" i="1"/>
  <c r="J596" i="1"/>
  <c r="J597" i="1"/>
  <c r="J598" i="1"/>
  <c r="J599" i="1"/>
  <c r="J860" i="1"/>
  <c r="J600" i="1"/>
  <c r="J992" i="1"/>
  <c r="J888" i="1"/>
  <c r="J601" i="1"/>
  <c r="J602" i="1"/>
  <c r="J603" i="1"/>
  <c r="J604" i="1"/>
  <c r="J759" i="1"/>
  <c r="J925" i="1"/>
  <c r="J926" i="1"/>
  <c r="J867" i="1"/>
  <c r="J605" i="1"/>
  <c r="J606" i="1"/>
  <c r="J607" i="1"/>
  <c r="J608" i="1"/>
  <c r="J804" i="1"/>
  <c r="J609" i="1"/>
  <c r="J610" i="1"/>
  <c r="J611" i="1"/>
  <c r="J612" i="1"/>
  <c r="J613" i="1"/>
  <c r="J614" i="1"/>
  <c r="J615" i="1"/>
  <c r="J616" i="1"/>
  <c r="J1050" i="1"/>
  <c r="J1076" i="1"/>
  <c r="J760" i="1"/>
  <c r="J1163" i="1"/>
  <c r="J617" i="1"/>
  <c r="J618" i="1"/>
  <c r="J968" i="1"/>
  <c r="J1077" i="1"/>
  <c r="J993" i="1"/>
  <c r="J1087" i="1"/>
  <c r="J619" i="1"/>
  <c r="J620" i="1"/>
  <c r="J621" i="1"/>
  <c r="J622" i="1"/>
  <c r="J623" i="1"/>
  <c r="J624" i="1"/>
  <c r="J625" i="1"/>
  <c r="J768" i="1"/>
  <c r="J776" i="1"/>
  <c r="J820" i="1"/>
  <c r="J946" i="1"/>
  <c r="J1059" i="1"/>
  <c r="J1092" i="1"/>
  <c r="J1121" i="1"/>
  <c r="J1159" i="1"/>
  <c r="J1178" i="1"/>
  <c r="J626" i="1"/>
  <c r="J627" i="1"/>
  <c r="J795" i="1"/>
  <c r="J628" i="1"/>
  <c r="J771" i="1"/>
  <c r="J927" i="1"/>
  <c r="J928" i="1"/>
  <c r="J862" i="1"/>
  <c r="J906" i="1"/>
  <c r="J1176" i="1"/>
  <c r="J1162" i="1"/>
  <c r="J1033" i="1"/>
  <c r="J629" i="1"/>
  <c r="J630" i="1"/>
  <c r="J929" i="1"/>
  <c r="J1127" i="1"/>
  <c r="J631" i="1"/>
  <c r="J994" i="1"/>
  <c r="J632" i="1"/>
  <c r="J633" i="1"/>
  <c r="J634" i="1"/>
  <c r="J635" i="1"/>
  <c r="J636" i="1"/>
  <c r="J637" i="1"/>
  <c r="J797" i="1"/>
  <c r="J1173" i="1"/>
  <c r="J798" i="1"/>
  <c r="J853" i="1"/>
  <c r="J1060" i="1"/>
  <c r="J1061" i="1"/>
  <c r="J889" i="1"/>
  <c r="J1171" i="1"/>
  <c r="J891" i="1"/>
  <c r="J930" i="1"/>
  <c r="J65" i="1"/>
  <c r="J638" i="1"/>
  <c r="J639" i="1"/>
  <c r="J640" i="1"/>
  <c r="J641" i="1"/>
  <c r="J642" i="1"/>
  <c r="J643" i="1"/>
  <c r="J66" i="1"/>
  <c r="J67" i="1"/>
  <c r="J68" i="1"/>
  <c r="J644" i="1"/>
  <c r="J645" i="1"/>
  <c r="J1128" i="1"/>
  <c r="J899" i="1"/>
  <c r="J947" i="1"/>
  <c r="J949" i="1"/>
  <c r="J854" i="1"/>
  <c r="J995" i="1"/>
  <c r="J761" i="1"/>
  <c r="J1071" i="1"/>
  <c r="J931" i="1"/>
  <c r="J762" i="1"/>
  <c r="J1122" i="1"/>
  <c r="J1165" i="1"/>
  <c r="J1179" i="1"/>
  <c r="J751" i="1"/>
  <c r="J1149" i="1"/>
  <c r="J69" i="1"/>
  <c r="J70" i="1"/>
  <c r="J646" i="1"/>
  <c r="J647" i="1"/>
  <c r="J753" i="1"/>
  <c r="J648" i="1"/>
  <c r="J649" i="1"/>
  <c r="J650" i="1"/>
  <c r="J651" i="1"/>
  <c r="J652" i="1"/>
  <c r="J653" i="1"/>
  <c r="J654" i="1"/>
  <c r="J855" i="1"/>
  <c r="J655" i="1"/>
  <c r="J71" i="1"/>
  <c r="J656" i="1"/>
  <c r="J657" i="1"/>
  <c r="J658" i="1"/>
  <c r="J948" i="1"/>
  <c r="J825" i="1"/>
  <c r="J659" i="1"/>
  <c r="J763" i="1"/>
  <c r="J72" i="1"/>
  <c r="J660" i="1"/>
  <c r="J661" i="1"/>
  <c r="J662" i="1"/>
  <c r="J663" i="1"/>
  <c r="J105" i="1"/>
  <c r="J73" i="1"/>
  <c r="J74" i="1"/>
  <c r="J75" i="1"/>
  <c r="J76" i="1"/>
  <c r="J86" i="1"/>
  <c r="J664" i="1"/>
  <c r="J665" i="1"/>
  <c r="J666" i="1"/>
  <c r="J667" i="1"/>
  <c r="J668" i="1"/>
  <c r="J669" i="1"/>
  <c r="J670" i="1"/>
  <c r="J671" i="1"/>
  <c r="J672" i="1"/>
  <c r="J673" i="1"/>
  <c r="J674" i="1"/>
  <c r="J675" i="1"/>
  <c r="J676" i="1"/>
  <c r="J677" i="1"/>
  <c r="J678" i="1"/>
  <c r="J679" i="1"/>
  <c r="J777" i="1"/>
  <c r="J821" i="1"/>
  <c r="J936" i="1"/>
  <c r="J680" i="1"/>
  <c r="J681" i="1"/>
  <c r="J682" i="1"/>
  <c r="J856" i="1"/>
  <c r="J1009" i="1"/>
  <c r="J683" i="1"/>
  <c r="J796" i="1"/>
  <c r="J932" i="1"/>
  <c r="J969" i="1"/>
  <c r="J970" i="1"/>
  <c r="J684" i="1"/>
  <c r="J685" i="1"/>
  <c r="J686" i="1"/>
  <c r="J808" i="1"/>
  <c r="J687" i="1"/>
  <c r="J688" i="1"/>
  <c r="J805" i="1"/>
  <c r="J857" i="1"/>
  <c r="J1037" i="1"/>
  <c r="J689" i="1"/>
  <c r="J690" i="1"/>
  <c r="J691" i="1"/>
  <c r="J692" i="1"/>
  <c r="J693" i="1"/>
  <c r="J933" i="1"/>
  <c r="J694" i="1"/>
  <c r="J695" i="1"/>
  <c r="J696" i="1"/>
  <c r="J858" i="1"/>
  <c r="J697" i="1"/>
  <c r="J698" i="1"/>
  <c r="J699" i="1"/>
  <c r="J700" i="1"/>
  <c r="J701" i="1"/>
  <c r="J702" i="1"/>
  <c r="J703" i="1"/>
  <c r="J704" i="1"/>
  <c r="J705" i="1"/>
  <c r="J706" i="1"/>
  <c r="J900" i="1"/>
  <c r="J1000" i="1"/>
  <c r="J77" i="1"/>
  <c r="J707" i="1"/>
  <c r="J708" i="1"/>
  <c r="J709" i="1"/>
  <c r="J710" i="1"/>
  <c r="J711" i="1"/>
  <c r="J1003" i="1"/>
  <c r="J1174" i="1"/>
  <c r="J712" i="1"/>
  <c r="J1062" i="1"/>
  <c r="J1160" i="1"/>
  <c r="J713" i="1"/>
  <c r="J714" i="1"/>
  <c r="J823" i="1"/>
  <c r="J715" i="1"/>
  <c r="J716" i="1"/>
  <c r="J717" i="1"/>
  <c r="J1153" i="1"/>
  <c r="J78" i="1"/>
  <c r="J79" i="1"/>
  <c r="J80" i="1"/>
  <c r="J718" i="1"/>
  <c r="J719" i="1"/>
  <c r="J720" i="1"/>
  <c r="J721" i="1"/>
  <c r="J722" i="1"/>
  <c r="J723" i="1"/>
  <c r="J724" i="1"/>
  <c r="J725" i="1"/>
  <c r="J769" i="1"/>
  <c r="J770" i="1"/>
  <c r="J754" i="1"/>
  <c r="J726" i="1"/>
  <c r="J727" i="1"/>
  <c r="J728" i="1"/>
  <c r="J1097" i="1"/>
  <c r="J1063" i="1"/>
  <c r="J903" i="1"/>
  <c r="J729" i="1"/>
  <c r="J822" i="1"/>
  <c r="J730" i="1"/>
  <c r="J1093" i="1"/>
  <c r="J731" i="1"/>
  <c r="J890" i="1"/>
  <c r="J732" i="1"/>
  <c r="J81" i="1"/>
  <c r="J733" i="1"/>
  <c r="J734" i="1"/>
  <c r="J735" i="1"/>
  <c r="J752" i="1"/>
  <c r="J736" i="1"/>
  <c r="J106" i="1"/>
  <c r="J737" i="1"/>
  <c r="J738" i="1"/>
  <c r="J739" i="1"/>
  <c r="J740" i="1"/>
  <c r="J741" i="1"/>
  <c r="J742" i="1"/>
  <c r="J743" i="1"/>
  <c r="J806" i="1"/>
  <c r="J744" i="1"/>
  <c r="J745" i="1"/>
  <c r="J746" i="1"/>
  <c r="J747" i="1"/>
  <c r="J748" i="1"/>
  <c r="J749" i="1"/>
  <c r="J750" i="1"/>
  <c r="C53" i="8"/>
  <c r="D53" i="8"/>
  <c r="E53" i="8"/>
  <c r="F53" i="8"/>
  <c r="D16" i="10"/>
  <c r="D15" i="10"/>
  <c r="D14" i="10"/>
  <c r="D13" i="10"/>
  <c r="D12" i="10"/>
  <c r="D11" i="10"/>
  <c r="D10" i="10"/>
  <c r="D9" i="10"/>
  <c r="D8" i="10"/>
  <c r="D7" i="10"/>
  <c r="D6" i="10"/>
  <c r="D5" i="10"/>
  <c r="D4" i="10"/>
</calcChain>
</file>

<file path=xl/sharedStrings.xml><?xml version="1.0" encoding="utf-8"?>
<sst xmlns="http://schemas.openxmlformats.org/spreadsheetml/2006/main" count="6548" uniqueCount="1890">
  <si>
    <t>Type of Event</t>
  </si>
  <si>
    <t>Name of Event</t>
  </si>
  <si>
    <t>Date</t>
  </si>
  <si>
    <t>Purpose</t>
  </si>
  <si>
    <t>Attendance</t>
  </si>
  <si>
    <t>Comments</t>
  </si>
  <si>
    <t>CE Lead/ Attendees</t>
  </si>
  <si>
    <t>Frontier to ATL</t>
  </si>
  <si>
    <t>Celebrate inaugural flight</t>
  </si>
  <si>
    <t>Good engagement</t>
  </si>
  <si>
    <t>Steph, Priscilla</t>
  </si>
  <si>
    <t>Chamber</t>
  </si>
  <si>
    <t>Chino Valley Chamber Economic Forecast</t>
  </si>
  <si>
    <t>Joint Chamber luncheon</t>
  </si>
  <si>
    <t>Included Chino, Brea, and otherRC/OC chambers</t>
  </si>
  <si>
    <t>Community</t>
  </si>
  <si>
    <t>OC Fair</t>
  </si>
  <si>
    <t>Booth at OC Fair</t>
  </si>
  <si>
    <t>Next year, get parking passes further in advance</t>
  </si>
  <si>
    <t>Upland Chamber Breakfast</t>
  </si>
  <si>
    <t>Network/announce new ONT position</t>
  </si>
  <si>
    <t>Asked to be speaker at future event</t>
  </si>
  <si>
    <t>Steph</t>
  </si>
  <si>
    <t>Conference</t>
  </si>
  <si>
    <t>SMART Airports</t>
  </si>
  <si>
    <t>Manage booth/staff President Wapner</t>
  </si>
  <si>
    <t>ONT hosts next year; CR should prepare more for this event</t>
  </si>
  <si>
    <t>IPW</t>
  </si>
  <si>
    <t>Manage booth/network</t>
  </si>
  <si>
    <t>Recommend not partnering for conferences; did not like appointment schedule</t>
  </si>
  <si>
    <t>Chino Valley Business Expo</t>
  </si>
  <si>
    <t>Need better branding for booths ie signs, backdrop</t>
  </si>
  <si>
    <t>Job Fair</t>
  </si>
  <si>
    <t>Manage booth/assist vendors</t>
  </si>
  <si>
    <t>Need to plan further in advance &amp; communicate with Missy Thomas better</t>
  </si>
  <si>
    <t>State of the County</t>
  </si>
  <si>
    <t>Continue sponsorship</t>
  </si>
  <si>
    <t>RC Chamber Breakfast</t>
  </si>
  <si>
    <t>ONT Presentation</t>
  </si>
  <si>
    <t>Good engagement/presentation</t>
  </si>
  <si>
    <t>Eastvale State of the City</t>
  </si>
  <si>
    <t>State of City Presenation</t>
  </si>
  <si>
    <t>Good event/worth sponsorship</t>
  </si>
  <si>
    <t>Priscilla, Steph</t>
  </si>
  <si>
    <t>Irvine Global Festival</t>
  </si>
  <si>
    <t>Manage booth</t>
  </si>
  <si>
    <t>Great event; need better communication with staff for shifts</t>
  </si>
  <si>
    <t>Claremont Chamber Breakfast</t>
  </si>
  <si>
    <t>Network</t>
  </si>
  <si>
    <t>Lower attendance than usual</t>
  </si>
  <si>
    <t>Anthesis Tour</t>
  </si>
  <si>
    <t>Provide tour to disabled adults</t>
  </si>
  <si>
    <t>Good tour; need to plan further in advance; need to have IDs checked in advance</t>
  </si>
  <si>
    <t>Chino Valley Chamber Business Awards</t>
  </si>
  <si>
    <t>Attend Dinner/network/accept award</t>
  </si>
  <si>
    <t>Difficult venue to network</t>
  </si>
  <si>
    <t>March of Dimes Signature Chefs Dinner</t>
  </si>
  <si>
    <t>Difficult venue to network/ issues with what ONT promised MOD</t>
  </si>
  <si>
    <t>Virtual LA Chamber Halloween Mixer</t>
  </si>
  <si>
    <t>Difficult to network online</t>
  </si>
  <si>
    <t>Upland Chamber Luncheon</t>
  </si>
  <si>
    <t>Good presentation/ Difficult venue for acoustics</t>
  </si>
  <si>
    <t>State of the Airport</t>
  </si>
  <si>
    <t>Lead for Registration</t>
  </si>
  <si>
    <t>Great event; need to change registration format; should announce electeds</t>
  </si>
  <si>
    <t>Employee Event</t>
  </si>
  <si>
    <t>Lead for event</t>
  </si>
  <si>
    <t>Needed more tables and chairs</t>
  </si>
  <si>
    <t>Tenant Event</t>
  </si>
  <si>
    <t>Set-up and left to attend Aha!</t>
  </si>
  <si>
    <t>Aha! To Reno</t>
  </si>
  <si>
    <t>Small engagement due to small flight</t>
  </si>
  <si>
    <t>RC Chamber Vintners Gala</t>
  </si>
  <si>
    <t>Veterans Lunch</t>
  </si>
  <si>
    <t>Chipotle bailed; everything else was okay</t>
  </si>
  <si>
    <t>Tour De Foothills</t>
  </si>
  <si>
    <t>Not a good event to manage booth; ideal for food/drink vendor</t>
  </si>
  <si>
    <t>Chino Valley Holiday Luncheon</t>
  </si>
  <si>
    <t>Attend lunch/network</t>
  </si>
  <si>
    <t>Tickets came with annual sponsorship; good event to attend</t>
  </si>
  <si>
    <t>Surprise and Delight</t>
  </si>
  <si>
    <t>Promo table</t>
  </si>
  <si>
    <t>Set up a table in terminal 4, passed out hot chocolate and promo, great response from passengers</t>
  </si>
  <si>
    <t>City of Ontario 5k Reindeer Run</t>
  </si>
  <si>
    <t>Manage booth/5k participants</t>
  </si>
  <si>
    <t>Sponsorship encouraged by Atif, great engagements, holiday specific promo/booth dÈcor and 5k participant accessory for next year</t>
  </si>
  <si>
    <t>Priscilla</t>
  </si>
  <si>
    <t>Angel Tree Drive</t>
  </si>
  <si>
    <t>Collect gift donations</t>
  </si>
  <si>
    <t xml:space="preserve">56 out of 70 tags/gifts were taken care of by staff, executive team covered 14 tags </t>
  </si>
  <si>
    <t>Surprise and Delight: Unpopular Opinion</t>
  </si>
  <si>
    <t>Customer Appreciation + Engagement</t>
  </si>
  <si>
    <t>Customers enjoyed hot chocolate and participating in unpopular opinions.</t>
  </si>
  <si>
    <t xml:space="preserve">Great enagement </t>
  </si>
  <si>
    <t>Booth</t>
  </si>
  <si>
    <t>Ontario Reindeer Run</t>
  </si>
  <si>
    <t>Engage with passengers</t>
  </si>
  <si>
    <t>Unpopular Opinions</t>
  </si>
  <si>
    <t>Need better time frame when baggage claim is busy</t>
  </si>
  <si>
    <t>Tree Lighting Ceremony</t>
  </si>
  <si>
    <t>Great event</t>
  </si>
  <si>
    <t xml:space="preserve">Event </t>
  </si>
  <si>
    <t>5K at the Runway</t>
  </si>
  <si>
    <t>Good engagement and opportunity to network</t>
  </si>
  <si>
    <t>Claremont Village Venture</t>
  </si>
  <si>
    <t>Supported Mike Tract's class</t>
  </si>
  <si>
    <t>Provide tour for students</t>
  </si>
  <si>
    <t>Mt Sac Tour</t>
  </si>
  <si>
    <t>Supported Scott's partners</t>
  </si>
  <si>
    <t>Special guests in terminal</t>
  </si>
  <si>
    <t>TSM Activation</t>
  </si>
  <si>
    <t>Decent engagement</t>
  </si>
  <si>
    <t>Provide tour</t>
  </si>
  <si>
    <t>Tour Distribution Management Assoc of SoCal</t>
  </si>
  <si>
    <t>Supports SBCTA; crowd ful of tech/transportation groups</t>
  </si>
  <si>
    <t xml:space="preserve">Booth </t>
  </si>
  <si>
    <t>SBCTA Bus to Bus Expo</t>
  </si>
  <si>
    <t>RC Chamber New Member Reception</t>
  </si>
  <si>
    <t>Great tour; reminder to add bathroom breaks, waters and trash cans for youth groups</t>
  </si>
  <si>
    <t>Provide tour to girl scouts</t>
  </si>
  <si>
    <t>Troop 7611 Tour</t>
  </si>
  <si>
    <t>Per Quinn's Request; don't see value</t>
  </si>
  <si>
    <t xml:space="preserve">UCLA Anderson Forecast </t>
  </si>
  <si>
    <t>Great engagement with passengers</t>
  </si>
  <si>
    <t>Jetblue Surprise &amp; Delight</t>
  </si>
  <si>
    <t>Spoke about ONT to group</t>
  </si>
  <si>
    <t>Claremont Chamber New Member Reception</t>
  </si>
  <si>
    <t>AV Geek</t>
  </si>
  <si>
    <t>Aviation Day Surprise &amp; Delight</t>
  </si>
  <si>
    <t>Good Morning Riverside</t>
  </si>
  <si>
    <t>Yorba Linda Lunch Mixer</t>
  </si>
  <si>
    <t>Eastvale Breakfast</t>
  </si>
  <si>
    <t>Redlands State of the City</t>
  </si>
  <si>
    <t>Organized conference events</t>
  </si>
  <si>
    <t>SMART Airports Conference</t>
  </si>
  <si>
    <t>Present/Network</t>
  </si>
  <si>
    <t>Eastvale Chamber</t>
  </si>
  <si>
    <t>Redlands Rise &amp; Shine</t>
  </si>
  <si>
    <t>Not great engagement but event was free (per Scott)</t>
  </si>
  <si>
    <t>SBC Economic Forecast</t>
  </si>
  <si>
    <t>Good opportunity to network</t>
  </si>
  <si>
    <t>Claremont Chamber Lunch n Learn</t>
  </si>
  <si>
    <t>Lead Lunch-Brea</t>
  </si>
  <si>
    <t>Rancho Cucamonga Breakfast</t>
  </si>
  <si>
    <t>Good opporunity to present about ONT and network</t>
  </si>
  <si>
    <t>Chino Valley Real Estate Professionals</t>
  </si>
  <si>
    <t>Not great turnout</t>
  </si>
  <si>
    <t>Organize truck near terminals</t>
  </si>
  <si>
    <t>Lifestream Blood Drive</t>
  </si>
  <si>
    <t>successful job fair with 200+ applicants and 25 vendors</t>
  </si>
  <si>
    <t>Manage booth/assist with vendors</t>
  </si>
  <si>
    <t>GOBC/Riverside Ribbon Cutting</t>
  </si>
  <si>
    <t>Good engagement with passengers</t>
  </si>
  <si>
    <t>Memorial Day Surprise &amp; Delight</t>
  </si>
  <si>
    <t>Great event in ONT terminals for new vendor</t>
  </si>
  <si>
    <t>Organize grand opening</t>
  </si>
  <si>
    <t>ASPIRE Lounge Opening</t>
  </si>
  <si>
    <t>Annual Chaffey Golf Tournament</t>
  </si>
  <si>
    <t>Don't recommend sponsoring this event again; not enough engagement for managing booth on golf hole</t>
  </si>
  <si>
    <t>Upland Golf Tournament</t>
  </si>
  <si>
    <t>Claremont Sunrise Rotary</t>
  </si>
  <si>
    <t>Good networking opportunity with elected officials and business leaders from across socal</t>
  </si>
  <si>
    <t>SCAG Conference</t>
  </si>
  <si>
    <t>Successful event with the Fox 11 Team</t>
  </si>
  <si>
    <t>Organize day of filming for Fox 11</t>
  </si>
  <si>
    <t>Fox 11/Good Day LA Launch</t>
  </si>
  <si>
    <t>Paw Squad, OPARC, students and passengers were present; great event!</t>
  </si>
  <si>
    <t>Organize event for passengers</t>
  </si>
  <si>
    <t>Paw Squad Fashion Show</t>
  </si>
  <si>
    <t>Set up event for TA</t>
  </si>
  <si>
    <t>Travelers Aid Luncheon</t>
  </si>
  <si>
    <t>Eastvale Chamber Roundtable</t>
  </si>
  <si>
    <t>Not sure if sponsoring booth was beneficial</t>
  </si>
  <si>
    <t>Good Morning Corona</t>
  </si>
  <si>
    <t>Upland Kiwanis</t>
  </si>
  <si>
    <t>Promise Scholars Gold Tournament</t>
  </si>
  <si>
    <t xml:space="preserve">Claremont Rotary </t>
  </si>
  <si>
    <t xml:space="preserve">Great tour and good engagement </t>
  </si>
  <si>
    <t>Provide tour to business leaders</t>
  </si>
  <si>
    <t>Business Partner Tour</t>
  </si>
  <si>
    <t>Surprise &amp; Delight</t>
  </si>
  <si>
    <t>Good opportunity to network and present about ONT</t>
  </si>
  <si>
    <t>West End Real Estate Professionals</t>
  </si>
  <si>
    <t>Murrieta All Chamber Mixer</t>
  </si>
  <si>
    <t>Good opportunity to showcase ONT to disabled adults</t>
  </si>
  <si>
    <t>OPARC Tour</t>
  </si>
  <si>
    <t>Network/sponsor</t>
  </si>
  <si>
    <t>IEEP X SARH State of the Region</t>
  </si>
  <si>
    <t>Chino Salute to Public Safety</t>
  </si>
  <si>
    <t>SGVEP Economic Forecast</t>
  </si>
  <si>
    <t xml:space="preserve">Good opportunity to network with community; partnered with OPD and made special promo pieces </t>
  </si>
  <si>
    <t>Ontario Open House &amp; Taste of ONT</t>
  </si>
  <si>
    <t>Network/Present</t>
  </si>
  <si>
    <t xml:space="preserve">Redlands Rotary </t>
  </si>
  <si>
    <t>Decent engagement; hosted a booth in reception after presentation</t>
  </si>
  <si>
    <t>Ontario State of the City</t>
  </si>
  <si>
    <t>Network Connection Luncheon</t>
  </si>
  <si>
    <t>Good engagement from passengers; excitement about new route</t>
  </si>
  <si>
    <t>Austin Inaugural (Southwest)</t>
  </si>
  <si>
    <t>Gave presentation about ONT; great engagement and interest from group</t>
  </si>
  <si>
    <t>Rancho Cucamonga Luncheon</t>
  </si>
  <si>
    <t>Chino State of the City</t>
  </si>
  <si>
    <t>NOC Chamber Networking Lunch`</t>
  </si>
  <si>
    <t>Fontana Chamber Luncheon</t>
  </si>
  <si>
    <t>Leads Lunch</t>
  </si>
  <si>
    <t>Lake Elsinore Morning Mixer</t>
  </si>
  <si>
    <t>Virtual so difficult to network</t>
  </si>
  <si>
    <t>State of the Chamber</t>
  </si>
  <si>
    <t>Chamber wasn't well enough established for us to join</t>
  </si>
  <si>
    <t>Beaumont Installation Dinner</t>
  </si>
  <si>
    <t>Was given an opportunity to introduce myself, briefly go over airport updates and invite attendees to the mixer</t>
  </si>
  <si>
    <t>Network, Multi-Chamber Mixer</t>
  </si>
  <si>
    <t>Eastvale After-Hours Mixer</t>
  </si>
  <si>
    <t>Was given an opportunity to introduce myself and briefly go over airport updates. Was givent a second opportunity to discuss the mixer and invite attendees</t>
  </si>
  <si>
    <t>Orange Lunch Mixer</t>
  </si>
  <si>
    <t xml:space="preserve">Paredez, Emily </t>
  </si>
  <si>
    <t>smaller turnout because people were out sick</t>
  </si>
  <si>
    <t xml:space="preserve">Networking </t>
  </si>
  <si>
    <t>Chino Valley Chamber B@B</t>
  </si>
  <si>
    <t xml:space="preserve">Contreras, Jennifer and Paredez Emily </t>
  </si>
  <si>
    <t>Ontario 5K Reindeer Run and Rudolph's Dash</t>
  </si>
  <si>
    <t xml:space="preserve">Small turnout and the program was fun but not much time to network with everyone in the room which is the purpose of the meeting. </t>
  </si>
  <si>
    <t>Fontana Chamber of Commerce Networking Meeting</t>
  </si>
  <si>
    <t>Rancho Chamber End of Year Mixer</t>
  </si>
  <si>
    <t>GREAT turnout I was surprised. Lots of great connections in the room and basically all of SGV in the room as well.</t>
  </si>
  <si>
    <t xml:space="preserve"> networking</t>
  </si>
  <si>
    <t>San dimas multichamber mixer</t>
  </si>
  <si>
    <t>Decent turnout and the location was stunning. I dont see this chamber meet very often but great attendance when they do.</t>
  </si>
  <si>
    <t>Irwindale Chamber of Commerce Holiday Luncheon</t>
  </si>
  <si>
    <t xml:space="preserve">Contreras, Jennifer </t>
  </si>
  <si>
    <t xml:space="preserve">Murrieta/Wildomar Chamber Networking Breakfast </t>
  </si>
  <si>
    <t xml:space="preserve">Great attendance and a room full of great connections. </t>
  </si>
  <si>
    <t>Covina Chamber of Commerce</t>
  </si>
  <si>
    <t xml:space="preserve">Yorba Linda Network Connection Luncheon </t>
  </si>
  <si>
    <t>Wake up Menifee</t>
  </si>
  <si>
    <t xml:space="preserve">Networked with my table and this event had a great attendance. </t>
  </si>
  <si>
    <t>Eastvale Chamber Fire and Police Appreciation</t>
  </si>
  <si>
    <t>Presenting</t>
  </si>
  <si>
    <t>EDC Board Presentation</t>
  </si>
  <si>
    <t>Didnt have the best seat but very well attended. Got the opportunity to network with my table.</t>
  </si>
  <si>
    <t>Pomona Chamber of Commerce- Heroes Luncheon</t>
  </si>
  <si>
    <t>This event is based around the program and the speaker took a long time this time. Still a good event to prioritize</t>
  </si>
  <si>
    <t>Eastvale Chamber of Commerce - Mixer</t>
  </si>
  <si>
    <t xml:space="preserve">Lake Elsinore Chamber Humpday Morning Mixer </t>
  </si>
  <si>
    <t>First time attending this event and loved it. Very well planned and a great turnout. I recommend again next year.</t>
  </si>
  <si>
    <t>Glendora Chamber of Commerce- Holiday Mixer</t>
  </si>
  <si>
    <t xml:space="preserve">Murrieta/Wildomar Chamber Economic Outlook </t>
  </si>
  <si>
    <t xml:space="preserve">Redlands Chamber Rise and Shine </t>
  </si>
  <si>
    <t>We dont really do announcements in this group but we have time to network with each other.</t>
  </si>
  <si>
    <t>Chino Valley Leadership Collaborative</t>
  </si>
  <si>
    <t>Smaller turnout than they usually have due to the holidays, but very engaged. They asked for me back immediately next year.</t>
  </si>
  <si>
    <t>Smaller crowd than usual and was not a great turn out</t>
  </si>
  <si>
    <t>Riverside Chamber of Commerce Mixer</t>
  </si>
  <si>
    <t>Surprised at how small the crowd was and how late people showed up. Normally, this is a good event to attend.</t>
  </si>
  <si>
    <t>Arcadia Chamber of Commerce Networking at Noon</t>
  </si>
  <si>
    <t>Morning mixers are better attended then the evening ones, but a few new faces in the room.</t>
  </si>
  <si>
    <t>Presentation was well received. I got several comments that attendees learned a lot about the airport!</t>
  </si>
  <si>
    <t>*Speaking* Norco Chamber Business Breakfast RoundTable</t>
  </si>
  <si>
    <t xml:space="preserve">Chamber events are not well attended. </t>
  </si>
  <si>
    <t xml:space="preserve">Rialto's Breakfast with the Chamber </t>
  </si>
  <si>
    <t>This group is growing and there is lots of opportunities to give updates about ONT.</t>
  </si>
  <si>
    <t>San Dimas Chamber Women in Business Conections</t>
  </si>
  <si>
    <t xml:space="preserve">Well attended event and they allow self introductions. </t>
  </si>
  <si>
    <t xml:space="preserve">Murrieta/WIldomar Networking Breakfast </t>
  </si>
  <si>
    <t xml:space="preserve">Event is based around the program, but got the opportunity to network after with a few people and people at my table. </t>
  </si>
  <si>
    <t>Fontana Chamber of Commerce</t>
  </si>
  <si>
    <t xml:space="preserve">Well attended event and they allow for 30 second commercial! </t>
  </si>
  <si>
    <t xml:space="preserve">Lake Elsinore's Humpday Morning Mixer </t>
  </si>
  <si>
    <t>This event is getting smaller with mostly ambassadors showing up. This might be an event that I will attend less in the future due to low networking opportunties.</t>
  </si>
  <si>
    <t>Chino Valley Chamber of Commerce- B@B</t>
  </si>
  <si>
    <t>Great event, would reccomend brushing up on procurement process before attending or taking procurement specialist next year!</t>
  </si>
  <si>
    <t>SBCTA 2023 Business to Business Expo</t>
  </si>
  <si>
    <t>Well attended event. Since they do not do self introductions, reccomend taking door prize to get exposure.</t>
  </si>
  <si>
    <t xml:space="preserve">Redlands Rise and Shine </t>
  </si>
  <si>
    <t>King, Stephanie, Paredez, Emily</t>
  </si>
  <si>
    <t>Attended this event with Stephanie and Annie</t>
  </si>
  <si>
    <t>Vintners Gala</t>
  </si>
  <si>
    <t>First meeting with this leadership group. Great networking opportunities and exposure for ONT.</t>
  </si>
  <si>
    <t>Well attended. Booth had a line the whole day. Next year, take more children items to event!</t>
  </si>
  <si>
    <t xml:space="preserve">Claremont Village Venture </t>
  </si>
  <si>
    <t xml:space="preserve"> Very well attended event for a mixer. This chamber does a good job at creating networking opportunities. </t>
  </si>
  <si>
    <t>Arcadia Chamber of Commerce Mixer</t>
  </si>
  <si>
    <t>Paredez,  Emily</t>
  </si>
  <si>
    <t>Not a well attended event. I would not prioritize these events moving forward. However, did make one solid connection for a future booth opportunity.</t>
  </si>
  <si>
    <t>Filipino American Chamber of Commerce Mixer in West Co.</t>
  </si>
  <si>
    <t xml:space="preserve">Not well attended. Chamber is in process of restructuring itself. </t>
  </si>
  <si>
    <t xml:space="preserve">Rialto Chamber of Commerce Lunchtime Social </t>
  </si>
  <si>
    <t>Energized crowd with lots of questions. They appreciated the information about ONT and it appears most already prefer our airport.</t>
  </si>
  <si>
    <t>Speaking</t>
  </si>
  <si>
    <t>Monrovia Rotary Club</t>
  </si>
  <si>
    <t>Event booths/exhibitors were very spaced out. Lots of families in attendance.</t>
  </si>
  <si>
    <t>OPD's 2nd Annual Community Open House</t>
  </si>
  <si>
    <t>First time attending a MWCOC event but well attended.</t>
  </si>
  <si>
    <t xml:space="preserve">Murrieta/Wildomar Chamber"National Support Your Local Chamber of Commerce Day" Luncheon Event </t>
  </si>
  <si>
    <t>A lot of familiar faces in the room. Very few new connections here but great speaker</t>
  </si>
  <si>
    <t>Smaller crowd, but very welcoming and they appreicate ONT being at their events</t>
  </si>
  <si>
    <t>Wake Up Menifee</t>
  </si>
  <si>
    <t xml:space="preserve">Very small crowd and unorganized, but it was a positive because I was able to have a very in depth conversation about ONT through this presentation. </t>
  </si>
  <si>
    <t>Walnut Valley Rotary Club</t>
  </si>
  <si>
    <t xml:space="preserve">Well attended but the event has a set agenda </t>
  </si>
  <si>
    <t xml:space="preserve">Good Morning Corona </t>
  </si>
  <si>
    <t>Limited networking time here as well, but still got the opportunity to chat with some new connections</t>
  </si>
  <si>
    <t>Fontana Monthly Membership Luncheon</t>
  </si>
  <si>
    <t>Sent a raffle basket to the chamber. This event is always big but not alot of networking its set around the program. Alot of people leave right after.</t>
  </si>
  <si>
    <t>Riverside Chamber of Commerce</t>
  </si>
  <si>
    <t>Great event! ONT had the best booth. Recommend more promo next time and digitial screens!</t>
  </si>
  <si>
    <t>Routes World</t>
  </si>
  <si>
    <t xml:space="preserve">Small crowd but great networking opprtunity </t>
  </si>
  <si>
    <t xml:space="preserve">Brea- Networking at Noon </t>
  </si>
  <si>
    <t xml:space="preserve">Very well attended and they allow self introductions and 30 second business commericial </t>
  </si>
  <si>
    <t xml:space="preserve">Lake Elsinore- Humpday Morning Mixer </t>
  </si>
  <si>
    <t>Very good crowd and a lot of people attended to hear about ONT. Great connections and lots of follow ups after the presentation.</t>
  </si>
  <si>
    <t>Pomona Chamber of Commerce Networking at Noon</t>
  </si>
  <si>
    <t>Very small crowd, but attendees said it's normally well attended</t>
  </si>
  <si>
    <t xml:space="preserve">Rialto Chamber of Commerce Breakfast Social </t>
  </si>
  <si>
    <t>Well attended event. Take door prize moving forward.</t>
  </si>
  <si>
    <t>Open to the public which made it hard to network. Not enough seating and kinda unorganized.</t>
  </si>
  <si>
    <t>Eastvale state of the city</t>
  </si>
  <si>
    <t>Smaller crowd but great opportunity to network with all attendees</t>
  </si>
  <si>
    <t xml:space="preserve">Norco- NACC Networkers Luncheon </t>
  </si>
  <si>
    <t xml:space="preserve">Smaller event this time, but Zeb shared a great impact report from the chamber </t>
  </si>
  <si>
    <t xml:space="preserve">Well attended event with time to network. They allow self introductions and 30 seceonds to speak about business in attendance. </t>
  </si>
  <si>
    <t xml:space="preserve">Yorba Linda- Network Connection Luncheon </t>
  </si>
  <si>
    <t>Accepted new member gift and got a minute to speak about ONT</t>
  </si>
  <si>
    <t xml:space="preserve">Arcadia Chamber </t>
  </si>
  <si>
    <t>Great event. Lots of people excited to see ONT there and stopped by the booth.</t>
  </si>
  <si>
    <t>Mobility 21</t>
  </si>
  <si>
    <t>Everyone made great comments about ONT and always have great connections here!</t>
  </si>
  <si>
    <t>Eastvale Mixer</t>
  </si>
  <si>
    <t>Smaller turnout than last time but they give time for networking</t>
  </si>
  <si>
    <t xml:space="preserve">BIA Riverside Event </t>
  </si>
  <si>
    <t xml:space="preserve"> Norco- NACC's After-Hours Business Mixer with Lunch With Friends</t>
  </si>
  <si>
    <t xml:space="preserve">Contreras, Jennifer and Paredez, Emily </t>
  </si>
  <si>
    <t xml:space="preserve">Well attended event. Tables are set up in ballroom so a lot of foot traffic. </t>
  </si>
  <si>
    <t>Booth set up with promo</t>
  </si>
  <si>
    <t xml:space="preserve">17th Annual Women in Business </t>
  </si>
  <si>
    <t>Difficult to network; lack of seating for program</t>
  </si>
  <si>
    <t>County</t>
  </si>
  <si>
    <t>SBC State of the County</t>
  </si>
  <si>
    <t xml:space="preserve">Brea Networking at Noon </t>
  </si>
  <si>
    <t>Smaller crowd but great involvment from key stakeholdres</t>
  </si>
  <si>
    <t xml:space="preserve">Wake Up Menifee </t>
  </si>
  <si>
    <t>Crowd is growing and always great connections here</t>
  </si>
  <si>
    <t>San Dimas WIBC</t>
  </si>
  <si>
    <t>small crowd and unorganized event. However, went to support a friend at the fontana chamber of commerce and made two new connections</t>
  </si>
  <si>
    <t xml:space="preserve">Fontana Chamber of Commerce </t>
  </si>
  <si>
    <t xml:space="preserve">Great turnout large spanish speaking audiance. Event/venue is loud so a difficult to take surveys </t>
  </si>
  <si>
    <t xml:space="preserve">Lake Elsinore Mariachi Fest </t>
  </si>
  <si>
    <t>Smaller crowd than what was expecting. Very good feedback after the presentation, but several sponsorship requests.</t>
  </si>
  <si>
    <t>Jurupa Valley Chamber</t>
  </si>
  <si>
    <t>Well attended event. We should consider sponsoring or being a vendor in 2024.</t>
  </si>
  <si>
    <t xml:space="preserve">Riverside County Women's Leadership Conference </t>
  </si>
  <si>
    <t xml:space="preserve">Very engaged audience but did not have a screen and the location was not the most professional. Just something to keep in mind for next time. </t>
  </si>
  <si>
    <t>Eastvale Kiwanis</t>
  </si>
  <si>
    <t xml:space="preserve">CE Team  </t>
  </si>
  <si>
    <t>Attendees loved clear stadium bags. Great event to do surveys. Parking garage located far so plan ahead.</t>
  </si>
  <si>
    <t>USC Fan Fest</t>
  </si>
  <si>
    <t>Well organized event with key stakeholder in attendance.</t>
  </si>
  <si>
    <t>Presentation</t>
  </si>
  <si>
    <t xml:space="preserve">Other </t>
  </si>
  <si>
    <t>Temecula MTG Group</t>
  </si>
  <si>
    <t>Actually a very good event. More and more people arrived later but made great connections. Targeting this city because they are not aware of ONT</t>
  </si>
  <si>
    <t>Monrovia Chamber of Commerce</t>
  </si>
  <si>
    <t>Went to a toastmasters event and I do not recommend attending again. It was a beginner's course and spent most of the time advertising and no teaching.</t>
  </si>
  <si>
    <t xml:space="preserve">Claremont Chamber </t>
  </si>
  <si>
    <t>Well attended event. They have opportunity to advertise business at end if you take a raffle item.</t>
  </si>
  <si>
    <t>Networking</t>
  </si>
  <si>
    <t xml:space="preserve">Redlands Rise and Shine Redlands </t>
  </si>
  <si>
    <t>Great presentation and a consistently large crowd for this morning event. Found another speaking opportunity here.</t>
  </si>
  <si>
    <t xml:space="preserve">Chino Valley Chamber </t>
  </si>
  <si>
    <t>Emily/Jennifer</t>
  </si>
  <si>
    <t>Almost every student was international. I thought it was a great event because we had in depth conversations with almost everyone educating them that you can get anywhere in the world from ONT and that we are an international airport which some were not aware of.</t>
  </si>
  <si>
    <t>Set up table with promo and collateral</t>
  </si>
  <si>
    <t>CGU New Student Welcome</t>
  </si>
  <si>
    <t>Great feedback from presentation</t>
  </si>
  <si>
    <t xml:space="preserve">Presentation </t>
  </si>
  <si>
    <t>Presentation went well; venue screens were far away</t>
  </si>
  <si>
    <t>Upland Chamber Lunch</t>
  </si>
  <si>
    <t>Not a very well attended event. There were several community events going on around the event so I think this impacted their attendance.</t>
  </si>
  <si>
    <t>Pomona Chamber of Commerce</t>
  </si>
  <si>
    <t xml:space="preserve">Not well attended since it was their first young professionals mixer/event. </t>
  </si>
  <si>
    <t>Corona Young Professionals Mixer</t>
  </si>
  <si>
    <t>Graduating class from Leadership Collaborative. Mentions that they would like to have ONT tour again next year for this group.</t>
  </si>
  <si>
    <t>Chino Valley Chamber CVLV</t>
  </si>
  <si>
    <t xml:space="preserve">Great turnout and now going to be members of this chamber! A guest won ONT swag during the raffle portion. </t>
  </si>
  <si>
    <t>Arcadia Chamber Networking at Noon</t>
  </si>
  <si>
    <t xml:space="preserve">Well attended luncheon event held at a unique location. They allowed attendees to indroduce themselves. </t>
  </si>
  <si>
    <t xml:space="preserve">Menifee Chamber Midday Mixer </t>
  </si>
  <si>
    <t xml:space="preserve">Only documenting this one because they do not offer Zoom and it is not mentioned on their website. Also located in a different room. </t>
  </si>
  <si>
    <t>Upland Toastmasters</t>
  </si>
  <si>
    <t>Larger crowd than I was expecting. Got an update from the City Manager that alot of events are coming in the fall to celebrate 125th year of Azusa</t>
  </si>
  <si>
    <t>Azusa</t>
  </si>
  <si>
    <t>Great opportunties to speak and had a decent crowd at this event</t>
  </si>
  <si>
    <t>Eastvale Chamber Mixer</t>
  </si>
  <si>
    <t xml:space="preserve">Event has a set program, but it was well attended and made great connections. </t>
  </si>
  <si>
    <t>Not as large of a crowd as GMR but more time to network at this event</t>
  </si>
  <si>
    <t>Greater Riverside</t>
  </si>
  <si>
    <t>This is a rough estimate of activations. It appears this one got deleted</t>
  </si>
  <si>
    <t>Chino Valley Womens Conference</t>
  </si>
  <si>
    <t>Big crowd this time and great connections. I knew some familiar faces in the room and opportunities to talk about ONT</t>
  </si>
  <si>
    <t>Glendora Chamber of Commerce</t>
  </si>
  <si>
    <t>This event is always big and got to hear from the City Manager as he spoke about upcoming projects. I prioritize this event.</t>
  </si>
  <si>
    <t xml:space="preserve">Eastvale Chamber of Commerce </t>
  </si>
  <si>
    <t>Great turn out as usual. Lots of opportunity to network</t>
  </si>
  <si>
    <t xml:space="preserve">B@B Chino Valley Chamber </t>
  </si>
  <si>
    <t xml:space="preserve">Steph </t>
  </si>
  <si>
    <t>Representing ONT as board member</t>
  </si>
  <si>
    <t>Rancho Chamber Board Retreat</t>
  </si>
  <si>
    <t>We were nominated for an award and got to network at my table</t>
  </si>
  <si>
    <t>Eastvale Chamber Board installation</t>
  </si>
  <si>
    <t xml:space="preserve">I attended this Mixer as a member of Pomona and got to connect with other chambers that are in our target areas. </t>
  </si>
  <si>
    <t>First time at this chamber and had a decent turn out for the lunch period. Great connections for future opportunities to partner in this targeted area</t>
  </si>
  <si>
    <t xml:space="preserve">Covina Chamber of Commerce </t>
  </si>
  <si>
    <t>This is a great chamber and got to educate several people who travel frequently about ONT</t>
  </si>
  <si>
    <t>This event is always growing. They are relocating to accomodate and there are always great connections.</t>
  </si>
  <si>
    <t>Great active shooter training. I knew most of the connections in the room. Very little new faces.</t>
  </si>
  <si>
    <t>always a great turn out and give you a good amount of time to talk about your business</t>
  </si>
  <si>
    <t>WIBC San Dimas</t>
  </si>
  <si>
    <t>Smaller event than I was expecting, but met great connections here!</t>
  </si>
  <si>
    <t>Pomona Board Installation</t>
  </si>
  <si>
    <t>Good attendance for morning event</t>
  </si>
  <si>
    <t>Rancho Chamber Breakfast</t>
  </si>
  <si>
    <t>Realized I forgot to track this one so not sure how many people I activated</t>
  </si>
  <si>
    <t xml:space="preserve">Steph/Emily </t>
  </si>
  <si>
    <t xml:space="preserve">Attended this event with Steph who is now serving on the executive board of the chamber. </t>
  </si>
  <si>
    <t>Rancho Cucamonga Installation</t>
  </si>
  <si>
    <t>Great attendance almost need a bigger location. Great connections including some city officials. Always have good speaking opportunities.</t>
  </si>
  <si>
    <t xml:space="preserve">San Dimas Chamber </t>
  </si>
  <si>
    <t xml:space="preserve">Went to the event location and no one was there. There was no notice of a cancellation and there was only one room it could have been held in. </t>
  </si>
  <si>
    <t xml:space="preserve">small crowd </t>
  </si>
  <si>
    <t xml:space="preserve">San Dimas Rotary </t>
  </si>
  <si>
    <t>Set up table with promo</t>
  </si>
  <si>
    <t>Quakes Military Appreciation Night</t>
  </si>
  <si>
    <t>Surprised about the crowd considering the event was not on their website. Had an opporutnity to share about Sunflower and inform a travel agent on resources we have to help her plan for her travel bookings.</t>
  </si>
  <si>
    <t>Bigger crowd this time and very active chamber. They mentioned they have 8 events coming up in July</t>
  </si>
  <si>
    <t>Less of a turnout due to guest speaker</t>
  </si>
  <si>
    <t>Rancho Chamber Lunch</t>
  </si>
  <si>
    <t>Very small crowd. Recommend attending breakfast or mixer event they do better. However, very engaged audience.</t>
  </si>
  <si>
    <t>Smaller group this time around, but great connections as always. I got another invite to an upcoming event</t>
  </si>
  <si>
    <t>This group is growing and lots of opportunity to speak. Spoke about the sunflower program and a real engaged audience.</t>
  </si>
  <si>
    <t>SD Women in Business Connections</t>
  </si>
  <si>
    <t xml:space="preserve">Small crowd and presentation went way over and limited networking  time. It was the same crowd as last time. </t>
  </si>
  <si>
    <t xml:space="preserve">Bigger crowd and always get some sort of speaking opportunity at this chamber. Great connections and ties with other chambers as well </t>
  </si>
  <si>
    <t>The crows was smaller than last time and majority were the same people as the last event. There were still good connections.</t>
  </si>
  <si>
    <t>Pomona Networking at Noon</t>
  </si>
  <si>
    <t>The crowd was smaller this time but the connections are great. A small opportunity to speak and time to network</t>
  </si>
  <si>
    <t>San Dimas Chamber</t>
  </si>
  <si>
    <t>Always a good crowd at this event. Saw several connections from other chambers and all have great things to say about ONT</t>
  </si>
  <si>
    <t>Fontana Chamber- Monthly luncheon</t>
  </si>
  <si>
    <t xml:space="preserve">Great presentations and got to network at the table I sat with. </t>
  </si>
  <si>
    <t>Riverside Chamber- GMR</t>
  </si>
  <si>
    <t>Claremont Chamber Board Retreat</t>
  </si>
  <si>
    <t>Steph/Emily</t>
  </si>
  <si>
    <t>Good interactions with prize wheel</t>
  </si>
  <si>
    <t>Hagman's Resource Fair</t>
  </si>
  <si>
    <t>Great presenter. Reached out to present at the next BIA. Multiple opportunities to network and introductions</t>
  </si>
  <si>
    <t>Riverside Chamber BIA Event</t>
  </si>
  <si>
    <t xml:space="preserve">Big crowd for a morning event. The mayor and a city official was there to hear my presentation. I would present here again next year. </t>
  </si>
  <si>
    <t>Great shout outs for ONT as sponsor and Board member</t>
  </si>
  <si>
    <t>Claremont Installation Dinner</t>
  </si>
  <si>
    <t xml:space="preserve">Small but good networking </t>
  </si>
  <si>
    <t xml:space="preserve">Small crowd and might not be the best event to attend. However, they were happy to promote our mixer! </t>
  </si>
  <si>
    <t>San Dimas Monthly Luncheon</t>
  </si>
  <si>
    <t>Great opportuniy for networking; need to match strategy with CVB</t>
  </si>
  <si>
    <t>Smaller crowd this time but very supportive of announcing our events and always has introductions</t>
  </si>
  <si>
    <t>Presented, great reactions from the crowd, lots in attendace and several attending our MCM. Recommend to present next year</t>
  </si>
  <si>
    <t xml:space="preserve">Fontana Chamber </t>
  </si>
  <si>
    <t>Great networking with mltiple chambers</t>
  </si>
  <si>
    <t>Multi Chamebr Mixer</t>
  </si>
  <si>
    <t>Presented in front of the crowd, collected surveys, handed out promo and collateral. Presentation went well and networked after this event.</t>
  </si>
  <si>
    <t xml:space="preserve">Networked with the table I sat with. This event ended really quick this time. </t>
  </si>
  <si>
    <t xml:space="preserve">Event is based around the program, but the city has alot of development happening </t>
  </si>
  <si>
    <t xml:space="preserve">Good Morning Riverside Chamber </t>
  </si>
  <si>
    <t>A lot of elected officials and minimal networking opportunities</t>
  </si>
  <si>
    <t>Presented with Quinn</t>
  </si>
  <si>
    <t>Upland Rotary</t>
  </si>
  <si>
    <t>Great networking and shout outs for ONT</t>
  </si>
  <si>
    <t xml:space="preserve">The event was based around the program, but had a few moments to network at the table </t>
  </si>
  <si>
    <t>Eastvale National Day of Prayer</t>
  </si>
  <si>
    <t>Great interaction with elected officials; need to push local control more</t>
  </si>
  <si>
    <t>booth</t>
  </si>
  <si>
    <t>Greeter at event and got to speak to everyone as they entered</t>
  </si>
  <si>
    <t>RC Golf Tournament</t>
  </si>
  <si>
    <t>Good networking, long program</t>
  </si>
  <si>
    <t>GOCVB Lunch</t>
  </si>
  <si>
    <t>Always a good crowd and some speaking opportunities. This is an event that always has great connections</t>
  </si>
  <si>
    <t>Small crowd but got two opportunities to speak and talk about upcoming events for ONT</t>
  </si>
  <si>
    <t xml:space="preserve">San Dimas Chamber  </t>
  </si>
  <si>
    <t>Alot of the crowd was Altura Credit Union employees, but some good connections in the room.</t>
  </si>
  <si>
    <t>Riverside Chamber Mixer</t>
  </si>
  <si>
    <t>Paredez, Emily</t>
  </si>
  <si>
    <t>They did not do introductions this time to introduce ourselves. There was some time after to network, but mostly the program.</t>
  </si>
  <si>
    <t xml:space="preserve">Big turn out and the chamber has a lot of new projects happening in the area. </t>
  </si>
  <si>
    <t xml:space="preserve">Good turn out for this chamber. This event had good connections and opportunities to present. </t>
  </si>
  <si>
    <t>San DImas Chamber Coffee Hour</t>
  </si>
  <si>
    <t>Small crowd, but great conversations about ONT. Lots of consistent ONT passengers. However,I would not prioritize this event moving forward though.</t>
  </si>
  <si>
    <t>Glendora Chamber of Commerce Business Buzz</t>
  </si>
  <si>
    <t>Large and growing attendance at this event. Very good connections and will be presenting here in June</t>
  </si>
  <si>
    <t>Emily/Steph</t>
  </si>
  <si>
    <t>Great event! There were good connections here and a good event for a future presentation opportunity.</t>
  </si>
  <si>
    <t xml:space="preserve">Not alot of time for networking, but was a great event! </t>
  </si>
  <si>
    <t>Chino Valley Salute to Public Safety</t>
  </si>
  <si>
    <t>This event must have been canceled or not advertised as virtual. I showed up and no one was there. Another guest showed up to the address on the flyer as well.</t>
  </si>
  <si>
    <t>Pomona Coffee Connections</t>
  </si>
  <si>
    <t xml:space="preserve">Smaller attendance than last time, but ONT was the popular booth. </t>
  </si>
  <si>
    <t>Ontario Community Open House</t>
  </si>
  <si>
    <t>Large attendance and alot of representation from ONT</t>
  </si>
  <si>
    <t>Larger crowd in comparison to last time. It appears that only a few new people attend these events</t>
  </si>
  <si>
    <t>Fontana Networking Event</t>
  </si>
  <si>
    <t>Smaller turnout than I was expecting, but great connections here. Networked with the chamber members.</t>
  </si>
  <si>
    <t>Glendora State of the City</t>
  </si>
  <si>
    <t>Great turn out and really fun event. They created a program that helped teams interact to create a fun networking environment. Great connections!</t>
  </si>
  <si>
    <t>Rise and Shine Arcadia Chamber</t>
  </si>
  <si>
    <t xml:space="preserve">Decent turn out for a morning event. I am looking to present at a future B@B to spread info about ONT specifically in Chino and Pomona. </t>
  </si>
  <si>
    <t>Business @ Breakfast Chino Valley</t>
  </si>
  <si>
    <t>Large attendance for a morning event. The event was focused around the program, but some slight networking opportunities</t>
  </si>
  <si>
    <t>Short introduction, several familiar faces, small turnout. The next event they mentioned 250+ people will be there.</t>
  </si>
  <si>
    <t xml:space="preserve">Decent turn out for the event. Several chambers there and connected with the Duarte Chamber CEO </t>
  </si>
  <si>
    <t>SGV Women's Summit</t>
  </si>
  <si>
    <t xml:space="preserve">Small event with great information, 1 potential speaking opportunties, 1 invite to a local event, 2 potential supplier partners.   </t>
  </si>
  <si>
    <t>March Chamber Brief</t>
  </si>
  <si>
    <t>Great ribbon cutting</t>
  </si>
  <si>
    <t>Cookie Co Ribbon Cutting</t>
  </si>
  <si>
    <t>Really great mixer, Great conversations. CEO of Legacy Bank and his wife only travel through ONT, discussed ONT plus and Brightline</t>
  </si>
  <si>
    <t>March Monthly Mixer at Legacy Bank</t>
  </si>
  <si>
    <t xml:space="preserve">Rehmani, Ain </t>
  </si>
  <si>
    <t>El</t>
  </si>
  <si>
    <t>GOBC Visions Event</t>
  </si>
  <si>
    <t>Unique event with a great expo. The seminars were okay but they did cancel one and a speaker didnt show up.  The audience was mostly student training pilots.</t>
  </si>
  <si>
    <t xml:space="preserve">Women in Aviation </t>
  </si>
  <si>
    <t>Paredez, Emily/ Rehmani, Ain</t>
  </si>
  <si>
    <t xml:space="preserve">Great chamber and a large mixer event. Definetly should join this chamber they are active and everyone had good things to say. Several ONT fans here as well and were surprised to see us there </t>
  </si>
  <si>
    <t>Arcadia Chamber Mixer</t>
  </si>
  <si>
    <t xml:space="preserve">Great conversations and connections. Many new members joined. 1 potential vendor </t>
  </si>
  <si>
    <t>Redlands Mixer</t>
  </si>
  <si>
    <t xml:space="preserve">Great conversations and good ONT exposure for the local communties.  </t>
  </si>
  <si>
    <t xml:space="preserve">Riverside County Small Business </t>
  </si>
  <si>
    <t>Smaller event but made good connections and got to update several people about ONT</t>
  </si>
  <si>
    <t>Amazing event, large audience, and several hours to network. This Chamber does very well</t>
  </si>
  <si>
    <t>Fontana State of the City Event</t>
  </si>
  <si>
    <t>Great event, Great Engagement and connections. Into'd Self and ONT to the group as a whole. Great information from the DA</t>
  </si>
  <si>
    <t>Annual District Attorney Update with DA Mike Hestrin</t>
  </si>
  <si>
    <t xml:space="preserve">Monthly events, good turnout and activity. ONT is their 2nd or 3rd pick of airports. Great conversations. </t>
  </si>
  <si>
    <t>After Work Mixer</t>
  </si>
  <si>
    <t xml:space="preserve">Good engagement and connections, Mayor would like ONT updates to the public at the events I attend. Congressman Ken Calvert is an avid ONT flyer. Recognized a couple faces from previous events. </t>
  </si>
  <si>
    <t>Coffee with the Mayor of Wildomar</t>
  </si>
  <si>
    <t>Small turnout but are very supportive and had great connections</t>
  </si>
  <si>
    <t>San Dimas Valentine's Day Mixer</t>
  </si>
  <si>
    <t xml:space="preserve">Espcially great turn out with good networking </t>
  </si>
  <si>
    <t>Paredez,Emily</t>
  </si>
  <si>
    <t>Very active chamber, public speaking opportunity, and have connections from several areas</t>
  </si>
  <si>
    <t xml:space="preserve">Great Engagement, intro'd self to city council and chamber members. PawSquad got a shoutout. Good connections. </t>
  </si>
  <si>
    <t>Murrieta Wildomar Networking Breakfast</t>
  </si>
  <si>
    <t>Rehmani, Ain</t>
  </si>
  <si>
    <t xml:space="preserve">Great Engagement. Many good things said about their experiences with OIAA. Music Festival was a notable standout. </t>
  </si>
  <si>
    <t>Temecula Valley Chamber Networking Coffee</t>
  </si>
  <si>
    <t xml:space="preserve">Small turnout but good engagement and conversations. </t>
  </si>
  <si>
    <t xml:space="preserve">Corona Coffee with an Entrepeneur </t>
  </si>
  <si>
    <t>Great updates that included ONT; good mix of people</t>
  </si>
  <si>
    <t>GOCVB Tourism &amp; Hospitality Summit</t>
  </si>
  <si>
    <t xml:space="preserve">This chamber is new as of July 2022. The president of Irvine Chamber switched to help this area. Mostly peoples's first chamber event. Good engagement, had many questions about the airport. Great conversations.  </t>
  </si>
  <si>
    <t xml:space="preserve">Lake Forest Chamber Happy Hour Networking </t>
  </si>
  <si>
    <t>About 30 people showed up. However, they are growing and unexpected people showed up. Great connections!</t>
  </si>
  <si>
    <t>San Dimas Women In Business Connections</t>
  </si>
  <si>
    <t>Steph/Emily/Ain</t>
  </si>
  <si>
    <t>Not a huge turn-out for Installations but networked with good people</t>
  </si>
  <si>
    <t>GOBC Holiday Luncheon &amp; Installation</t>
  </si>
  <si>
    <t xml:space="preserve">Great engagement, Redlands increased their membership by 105 last year and since the start of the new year 23 have joined. Working with Evan for potential sponsorship opportunities. Questions mostly about my role and how I can be a resource for them. Also there were some people who were at the 5k and the previous Multi-Chamber Mixer and wanted to know the upcoming dates for these events. Evan made a note to say, San Bernardino Airport does not come to their events so he was very happy to have us there. </t>
  </si>
  <si>
    <t>Redlands Chamber Happy Hour</t>
  </si>
  <si>
    <t>Bad turn out due to the weather, but great connections! Several questions about dates for our Multi-Chamber Mixer.</t>
  </si>
  <si>
    <t xml:space="preserve">    </t>
  </si>
  <si>
    <t>Large range of chamber members and good turnout. Most questions were about tours.</t>
  </si>
  <si>
    <t>AMOC-Night at the Museum Pomona Chamber</t>
  </si>
  <si>
    <t>Loved the presentation at this luncheon from Mayor Pro Tem; great engagement</t>
  </si>
  <si>
    <t>Rancho Cucamonga Chamber BCN</t>
  </si>
  <si>
    <t>Always great engagement at this event; met Claremont Kiwanis and discussed a presentation</t>
  </si>
  <si>
    <t>Attended to support Elisa as the presenter; light attendance but good connections</t>
  </si>
  <si>
    <t>Networking/Supporting Elisa as Presenter</t>
  </si>
  <si>
    <t>Good Morning Ontario</t>
  </si>
  <si>
    <t xml:space="preserve">Jennifer Contreras/Emily Paderez </t>
  </si>
  <si>
    <t xml:space="preserve">They were very happy to have us present for their club and they would like for us to join rotary club. </t>
  </si>
  <si>
    <t xml:space="preserve">Presenting </t>
  </si>
  <si>
    <t xml:space="preserve">*Speaking* Rotary Club of Pomona </t>
  </si>
  <si>
    <t>Emily Paredez and Jordie Salvador</t>
  </si>
  <si>
    <t>Received compliments from So Cal Gas, Mayor of Anaheim, Councilmember from Manhattan Beach. Had a great location set up for booth</t>
  </si>
  <si>
    <t>SCAG</t>
  </si>
  <si>
    <t xml:space="preserve">Jenny Contreras and Connie Royal </t>
  </si>
  <si>
    <t>Multiple chambers attended, very crowded and made great connections with folks who came by our table. They loved our swag and loved having us there. Definitely should booth their summer mixer!</t>
  </si>
  <si>
    <t>Chamber Business Alliance (CBA) Spring Mixer</t>
  </si>
  <si>
    <t>Whittier Lions Club</t>
  </si>
  <si>
    <t>Whittier</t>
  </si>
  <si>
    <t>A bunch of questions at the end and a very engaged group</t>
  </si>
  <si>
    <t>Tri County Filipino American Chamber of Commerce</t>
  </si>
  <si>
    <t>Chino Valley</t>
  </si>
  <si>
    <t>great networking opportunities but can sometimes be dragged out</t>
  </si>
  <si>
    <t>Glendora Chamber Womens Event</t>
  </si>
  <si>
    <t>Glendora</t>
  </si>
  <si>
    <t xml:space="preserve">Paredez,Emily </t>
  </si>
  <si>
    <t>Event was not organized well and lots of elected officials</t>
  </si>
  <si>
    <t>SGVEP Gala</t>
  </si>
  <si>
    <t>San Gabriel</t>
  </si>
  <si>
    <t>heard great updates from the city and did not have speaking time this time</t>
  </si>
  <si>
    <t>Upland Chamber Monthly Luncheon</t>
  </si>
  <si>
    <t>Upland</t>
  </si>
  <si>
    <t>grateful that the chamber allowed us an opportunity to speak together</t>
  </si>
  <si>
    <t>Business and Breakfast Chino Valley</t>
  </si>
  <si>
    <t>Norco Lunch with Friends</t>
  </si>
  <si>
    <t>Norco</t>
  </si>
  <si>
    <t>Sadie Gribbon</t>
  </si>
  <si>
    <t>Networking at Noon</t>
  </si>
  <si>
    <t>Arcadia</t>
  </si>
  <si>
    <t>Arcadia Rise and Shine</t>
  </si>
  <si>
    <t xml:space="preserve">Jennifer Contreras </t>
  </si>
  <si>
    <t xml:space="preserve">*Speaking* Corona Circle City Rotary </t>
  </si>
  <si>
    <t>Corona</t>
  </si>
  <si>
    <t xml:space="preserve">This chamber is struggling now. Appears they are lacking leadership and people to attend their events </t>
  </si>
  <si>
    <t>La Verne Chamber</t>
  </si>
  <si>
    <t>La Verne</t>
  </si>
  <si>
    <t xml:space="preserve"> Smaller turnout this time in comparison to last time. Event can be drug out</t>
  </si>
  <si>
    <t>always a great turnout and new connections arriving to this event</t>
  </si>
  <si>
    <t>Chino Valley Chamber of Commerce</t>
  </si>
  <si>
    <t>Connie Royal</t>
  </si>
  <si>
    <t>Yorba Linda Chamber Lunch Mob</t>
  </si>
  <si>
    <t>Yorba Linda</t>
  </si>
  <si>
    <t>Covina Sunrise Rotary Meeting</t>
  </si>
  <si>
    <t>Covina</t>
  </si>
  <si>
    <t>Always a great turnout, make sure to bring Mayor Bill Zimmerman some socks next time you're there.</t>
  </si>
  <si>
    <t>Menifee</t>
  </si>
  <si>
    <t xml:space="preserve">Jennifer Contreras and Emily </t>
  </si>
  <si>
    <t>Great place to promote 5k!</t>
  </si>
  <si>
    <t>City of Ontario- 5k Reindeer Run and Rudolph's Dash</t>
  </si>
  <si>
    <t>Ontario</t>
  </si>
  <si>
    <t>Brought a raffle basket so was able to have the opportunity to speak and have ONT's name out there while calling the raffle ticket. This was a huge event and a great mixer, but the raffle was about an hour long so make sure to bring an item if you go because a lot of the time of the event was taken up by the rasffle items.</t>
  </si>
  <si>
    <t>SGV Multi-Chamber Mixer Holiday Party</t>
  </si>
  <si>
    <t>Growing event!</t>
  </si>
  <si>
    <t xml:space="preserve">Murrieta /Wildomar Chamber- Networking Breakfast </t>
  </si>
  <si>
    <t>Murrieta</t>
  </si>
  <si>
    <t xml:space="preserve">Great place to network w/o leaving office. </t>
  </si>
  <si>
    <t xml:space="preserve">Greater High Desert Chamber- Coffee Morning Break </t>
  </si>
  <si>
    <t>Greater High Desert</t>
  </si>
  <si>
    <t>Other</t>
  </si>
  <si>
    <t>Women Rising Leadership Academy</t>
  </si>
  <si>
    <t>Brea</t>
  </si>
  <si>
    <t xml:space="preserve">Difficult to network since agenda is set. </t>
  </si>
  <si>
    <t xml:space="preserve">Riverside Chamber- Inside La Sierra </t>
  </si>
  <si>
    <t>Riverside</t>
  </si>
  <si>
    <t>Nice holiday wrap up of the year. I was able to meet members of the Chamber that I hadn't met before.</t>
  </si>
  <si>
    <t>Placentia Chamber Holiday Sunset Social</t>
  </si>
  <si>
    <t>Placentia</t>
  </si>
  <si>
    <t>Emily Paredez</t>
  </si>
  <si>
    <t>Eastvale chamber of commerce</t>
  </si>
  <si>
    <t>Eastvale</t>
  </si>
  <si>
    <t>Greater High Desert Chamber- Valley Morning Insight Breakfast</t>
  </si>
  <si>
    <t>Placentia Chamber Lunch Mob</t>
  </si>
  <si>
    <t>Not worth prioritizing</t>
  </si>
  <si>
    <t>Presentng</t>
  </si>
  <si>
    <t>San Dimas Rotary</t>
  </si>
  <si>
    <t>San Dimas</t>
  </si>
  <si>
    <t xml:space="preserve">Good group to talk to, definitely good to go back once a year to talk about the airport as this group has hundreds of agents. Try for another time that is not holiday season for a better crowd. </t>
  </si>
  <si>
    <t>*Speaking* KW The Lakes</t>
  </si>
  <si>
    <t>Lake Elsinore</t>
  </si>
  <si>
    <t>They always let me have a 5-10 minute commercial to give updates on ONT</t>
  </si>
  <si>
    <t>Walnut Valley Kiwanis Meeting</t>
  </si>
  <si>
    <t>Walnut</t>
  </si>
  <si>
    <t>Steph on Board</t>
  </si>
  <si>
    <t>Rancho Cucamonga Chamber Board Meeting</t>
  </si>
  <si>
    <t>Rancho Cucamonga</t>
  </si>
  <si>
    <t>Suprisingly big turn out</t>
  </si>
  <si>
    <t>Upland Womens Club</t>
  </si>
  <si>
    <t>We should definitely look into sponsoring this event so I can also have a speaking opportunity. This breakfast is a much bigger hit than any of their lunches.</t>
  </si>
  <si>
    <t>Good Morning, Brea!</t>
  </si>
  <si>
    <t>Wake Up Moreno Valley</t>
  </si>
  <si>
    <t>Moreno Valley</t>
  </si>
  <si>
    <t xml:space="preserve">Riverside Chamber Business in Action </t>
  </si>
  <si>
    <t>Diamond Bar Woman's Club</t>
  </si>
  <si>
    <t>Diamond Bar</t>
  </si>
  <si>
    <t>great turn out</t>
  </si>
  <si>
    <t>Upland Kiwanis Club</t>
  </si>
  <si>
    <t>Claremont Chamber Board Meeting</t>
  </si>
  <si>
    <t>Claremont</t>
  </si>
  <si>
    <t xml:space="preserve">I was expecting more people at the event, not worth having the CEO speak at. </t>
  </si>
  <si>
    <t xml:space="preserve">ABAIE Awards and Installation Gala </t>
  </si>
  <si>
    <t>Council meeting to present check to Chino Community Theatre</t>
  </si>
  <si>
    <t>City</t>
  </si>
  <si>
    <t>City of Chino Council Meeting</t>
  </si>
  <si>
    <t xml:space="preserve">CE Team </t>
  </si>
  <si>
    <t xml:space="preserve">USC Homecoming Game </t>
  </si>
  <si>
    <t>Los Angeles</t>
  </si>
  <si>
    <t xml:space="preserve">Growing event but same attendees. Love that all attendees get time to share an announcement </t>
  </si>
  <si>
    <t>Jurupa Valley Business Networking Luncheon</t>
  </si>
  <si>
    <t>Jurupa Valley</t>
  </si>
  <si>
    <t>Great event but difficult to network since it is a set agenda. You need to arrive early to network or stay after</t>
  </si>
  <si>
    <t>Arcadia Networking at Noon</t>
  </si>
  <si>
    <t>small crowd, not worth redoing next year</t>
  </si>
  <si>
    <t>Eastvale Rotary Club</t>
  </si>
  <si>
    <t>Glendora Chamber Monthly luncheon</t>
  </si>
  <si>
    <t>Anaheim Leads Lunch</t>
  </si>
  <si>
    <t>Anaheim</t>
  </si>
  <si>
    <t>Claremont Business Over Breakfast</t>
  </si>
  <si>
    <t>Great turnout and most ABAIE events are free!</t>
  </si>
  <si>
    <t>ABAIE Networking Mixer</t>
  </si>
  <si>
    <t xml:space="preserve">Growing event </t>
  </si>
  <si>
    <t>Coffee with the city of Wildomar</t>
  </si>
  <si>
    <t>Temecula Valley Young Professionals Luncheon</t>
  </si>
  <si>
    <t>Temecula</t>
  </si>
  <si>
    <t xml:space="preserve">Great way to network without leaving the office </t>
  </si>
  <si>
    <t xml:space="preserve">Greater High Desert Coffee Break Meeting </t>
  </si>
  <si>
    <t>Regional Chamber SGV Veteran's Day Luncheon</t>
  </si>
  <si>
    <t>Yorba Linda Sunrise Rotary Meeting</t>
  </si>
  <si>
    <t xml:space="preserve"> Presenting</t>
  </si>
  <si>
    <t>Eastvale Chamber of Commerce Breakfast Mixer</t>
  </si>
  <si>
    <t>Connie Royal, Emily Paredez, Stephanie King</t>
  </si>
  <si>
    <t>Rancho Cucamonga Chamber Vintner's Gala</t>
  </si>
  <si>
    <t>Norco Chamber Mixer</t>
  </si>
  <si>
    <t>First time meeting this group; very nice</t>
  </si>
  <si>
    <t>Placentia Rotary Meeting</t>
  </si>
  <si>
    <t>Great turnout as usual. Shift 1 in the AM needs to have 4 people, shift 2 was fine with 3 people (afternoon was busy but sustainable). The tote bag activation was a hit, poeple were excited about taking surveys and lining up for the tote bags. A lot of comments about the gold line coming thorugh Claremont and that Kurt needs to try and get it to have a stop at the airport. Make sure there is a back wall for the EZ-Up - people will reach from behind. Would be fine with just a medium sized bucket of all promo EXCEPT FOR gliders and stress planes (pack full bin of those).</t>
  </si>
  <si>
    <t>Village Venture</t>
  </si>
  <si>
    <t>Montclair Chamber Ribbon Cutting</t>
  </si>
  <si>
    <t>Montclair</t>
  </si>
  <si>
    <t>Big Four, some time for networking during registartion but otherwise a sit down formal event where networking at the table is primary source of convo. No sign o john Wayne in person or via sponsorship.</t>
  </si>
  <si>
    <t>Business Council</t>
  </si>
  <si>
    <t>OCBC Economic Forecast</t>
  </si>
  <si>
    <t>Huge crowd, and this only their 2nd time hosting this event. Will definitely consider sponsoring one of the future breakfasts.</t>
  </si>
  <si>
    <t>Brea Chamber: Good Morning, Brea!</t>
  </si>
  <si>
    <t xml:space="preserve">Very large ribbon cutting for the new hotel Tru by Hilton. </t>
  </si>
  <si>
    <t xml:space="preserve">Norco Chamber Ribbon Cutting </t>
  </si>
  <si>
    <t>Midday Mixer</t>
  </si>
  <si>
    <t xml:space="preserve">Meeting with Monique CEO </t>
  </si>
  <si>
    <t>Pomona</t>
  </si>
  <si>
    <t>Whittier Chamber Business Economic Outlook</t>
  </si>
  <si>
    <t>Small group, but always lots of good feedback on the airport and they're always happy to have me there</t>
  </si>
  <si>
    <t>West Covina Rotary Club</t>
  </si>
  <si>
    <t>West Covina</t>
  </si>
  <si>
    <t>Fontana Chamber Networking at Noon</t>
  </si>
  <si>
    <t>Fontana</t>
  </si>
  <si>
    <t xml:space="preserve">Murrieta /Wildomar Chamber- Coffee with the City of Murrieta </t>
  </si>
  <si>
    <t>*SPEAKING*</t>
  </si>
  <si>
    <t>Yorba Linda Chamber Network Connection Luncheon</t>
  </si>
  <si>
    <t>Fontana Chamber Business Network Meeting</t>
  </si>
  <si>
    <t xml:space="preserve">Corona Chamber- Good Morning Corona </t>
  </si>
  <si>
    <t>Smaller turnout but loved the location</t>
  </si>
  <si>
    <t>Upland Chamber of Commerce Event</t>
  </si>
  <si>
    <t>Whittier Chamber Wake up Whittier</t>
  </si>
  <si>
    <t>Sadie Gribbon, Jenny Contreras</t>
  </si>
  <si>
    <t xml:space="preserve">Attendees are all part of the business community. </t>
  </si>
  <si>
    <t>SBCTA B2B Expo</t>
  </si>
  <si>
    <t>Huge event and really great opportunities for networking</t>
  </si>
  <si>
    <t>Placentia Chamber New Member/Significant Anniversary Reception</t>
  </si>
  <si>
    <t>Always a welcoming group and these women are the ones who plan flights on behalf of their families. Great relationships to have.</t>
  </si>
  <si>
    <t>Small group, but I like to keep up with what they're up to so I try to go once in a while</t>
  </si>
  <si>
    <t>Brea Rotary Club</t>
  </si>
  <si>
    <t>Sadie Gribbon, Connie Royal, Emily Paredez</t>
  </si>
  <si>
    <t>Extremely unorganized event hosts and will not participate moving forward</t>
  </si>
  <si>
    <t>Apple Valley Airshow Booth</t>
  </si>
  <si>
    <t xml:space="preserve">Fontana Chamber Lunch </t>
  </si>
  <si>
    <t>Monthly meeting with former elected of Elsinore, residents, current officialsm and a lot of retired travelers (some travel in groups together),</t>
  </si>
  <si>
    <t>*Speaking* Elsinore Woman's Club</t>
  </si>
  <si>
    <t xml:space="preserve">Growing chamber event. </t>
  </si>
  <si>
    <t>Jurupa Valley Chamber- Business Networking Meeting</t>
  </si>
  <si>
    <t xml:space="preserve">Temecula Chamber- October Chamber Brief </t>
  </si>
  <si>
    <t>decent turn out but lots of time to speak</t>
  </si>
  <si>
    <t>Had an opportunity to talk in front of the entire crowd about ONT, always a great turnout, a lot of political issues happening in Lake Elsinore + Riv county right now so the recent chamber events have had a really weird vibe.</t>
  </si>
  <si>
    <t>Hump Day Morning Mixer Lake Elsinore</t>
  </si>
  <si>
    <t>Rialto is now having an event every month</t>
  </si>
  <si>
    <t>Rialto Chamber Breakfast</t>
  </si>
  <si>
    <t>Rialto</t>
  </si>
  <si>
    <t xml:space="preserve">Murrieta /Wildomar Chamber-Coffee with the Wildomar </t>
  </si>
  <si>
    <t>Small turnout but like that this chamber has frequent networking events</t>
  </si>
  <si>
    <t>San Dimas Chamber Coffee Hour</t>
  </si>
  <si>
    <t>Great group, most of them thought we were still LAWA and had no idea we were international, also Rotary International convention in 2026 was brought up as it is being hosted in Taipei</t>
  </si>
  <si>
    <t>*Speaking* Anaheim Rotary</t>
  </si>
  <si>
    <t xml:space="preserve">Jennifer and Jordan </t>
  </si>
  <si>
    <t xml:space="preserve">OPD OPen House </t>
  </si>
  <si>
    <t>Norco Chamber Ribbon Cutting</t>
  </si>
  <si>
    <t>Always an opportunity to speak in front of the entire group, new people at each breakfast and an informal setting which allows for a lot of networking.</t>
  </si>
  <si>
    <t>Good Morning Anaheim</t>
  </si>
  <si>
    <t>This event is more of an information on the coming month, not much time for networking.</t>
  </si>
  <si>
    <t>Redlands Chamber Rise &amp; Shine</t>
  </si>
  <si>
    <t>Redlands</t>
  </si>
  <si>
    <t xml:space="preserve">Well attended event and everyone gets time for a commercial </t>
  </si>
  <si>
    <t xml:space="preserve">Greater High Desert Chamber Coffee Break </t>
  </si>
  <si>
    <t>Club</t>
  </si>
  <si>
    <t>Norco Lunch With Friends Networking Group</t>
  </si>
  <si>
    <t>Apparently this was the first time the city held an event like this. It wasn't very well attended, but I'm glad I still went to see and will consider for future events.</t>
  </si>
  <si>
    <t>City of Walnut Local Business Fair</t>
  </si>
  <si>
    <t>Love this luncheon - very active group who really wants to get to know more about the airport and finding ways to collaborate</t>
  </si>
  <si>
    <t>Diamond Bar CEO Lunch Mob</t>
  </si>
  <si>
    <t xml:space="preserve">Greater Riverside Chamber- Inside Downtown </t>
  </si>
  <si>
    <t>*Speaking* San Bernardino Rotary</t>
  </si>
  <si>
    <t>San Bernardino</t>
  </si>
  <si>
    <t>Greater High Desert- Valley Morning Insight Breakfast</t>
  </si>
  <si>
    <t>This chamber loves supporting ONT and they too had really great reactions to the valet service.</t>
  </si>
  <si>
    <t>This group is always happy to have me attend. Lots of great feedback about the airport, and excited about valet service.</t>
  </si>
  <si>
    <t xml:space="preserve">women in business connections  </t>
  </si>
  <si>
    <t>Smaller than normal group; it was held at a new restaurant than the previous bi-monthly ones so I think that's why. But lots of great connections and happy to be an official member!</t>
  </si>
  <si>
    <t>Placentia Power Networking Lunch</t>
  </si>
  <si>
    <t>Jordie Annen</t>
  </si>
  <si>
    <t xml:space="preserve">Lower turn out than last week. I will be presenting in October to the club. Lots of chamber members and new people each week. </t>
  </si>
  <si>
    <t>Connie Royal, Jordie Annen</t>
  </si>
  <si>
    <t>Definitely smaller than the Spring one; maybe it was because the host (La Habra Chamber) hosted it in a small courtyard? We'll see how the winter one is.</t>
  </si>
  <si>
    <t>CBA Summer Luau</t>
  </si>
  <si>
    <t>La Habra</t>
  </si>
  <si>
    <t>Always a great turnout, games played so everyone is mingling about, 30 second spot to talk about ONT which is always great and always a part of the program</t>
  </si>
  <si>
    <t>Large crowd and always get a good amount of time for a commercial. Several people wanting to connect and the chamber assisted with sota filmin</t>
  </si>
  <si>
    <t>Great turn out, I met a few new people and I am making good connections with the chamber</t>
  </si>
  <si>
    <t>This zoom meeting had a good turn out for its second ever meeting. I think it's a great group to be a part of to get to know travel planners and what will be going on for the Olympics and World Cup.</t>
  </si>
  <si>
    <t>LA Chamber Travel, Tourism, and Sports Council Meeting</t>
  </si>
  <si>
    <t xml:space="preserve">Well attended mixer. They were happy to have ONT involved and want us to attend/partner with them on more events </t>
  </si>
  <si>
    <t>ABAIE Mixer</t>
  </si>
  <si>
    <t>Small turnout but great speaker from Mt Sac</t>
  </si>
  <si>
    <t>Netowrking</t>
  </si>
  <si>
    <t xml:space="preserve">San Dimas Chamber Monthly Breakfast </t>
  </si>
  <si>
    <t>Some opportunity for networking; I wouldn't prioritize it for next year, but if available would attend for support</t>
  </si>
  <si>
    <t>Yorba Linda Chamber First Responders Appreciation Breakfast</t>
  </si>
  <si>
    <t>This lunch has some time to net work in the beginning, but then you sit for the rest of the time. This one had less than the one before, but still a good turn out.</t>
  </si>
  <si>
    <t>Fontana Networking at Noon</t>
  </si>
  <si>
    <t xml:space="preserve">Smaller group, but information was well received </t>
  </si>
  <si>
    <t>*Speaking* †Wildomar†Rotary Club</t>
  </si>
  <si>
    <t>Not a good event. There was no one there. Do not recommend</t>
  </si>
  <si>
    <t>Upland Chamber of Commerce - Pop up event</t>
  </si>
  <si>
    <t>smaller crowd this time but invested in learning about ONT</t>
  </si>
  <si>
    <t xml:space="preserve"> Networking</t>
  </si>
  <si>
    <t>Women in Business Connections - San Dimas Chamber</t>
  </si>
  <si>
    <t>This was the first golf tournament the chamber held, and it was a fantastic turnout. The organizers were really happy to have me there and I received a lot of great feedback about the airport.</t>
  </si>
  <si>
    <t>Placentia Chamber "Golf for a Cure" Banquet Dinner</t>
  </si>
  <si>
    <t>Woujld prefer if booth was closer to entrance, this year was not as busy as the previous year and am questioning if this is THE event we should sponsor in Lake Elsinore next year as the turnout was not as high as expected. The organizers also bumped our sponsorship up to include VIP passes, Mezcal tastings and a VIP table in the fornt of the stage with free food and dirnks but they did not tell us any of this until we arrived day of which was a bummer. Also good to note that if we do sponsor next year, the lowest sponsorship would be the only option, if I werr a sponsor that paid for the 10k level and saw somebody at the 2,500 level ended up with all of the same perks, I would not have been happy.</t>
  </si>
  <si>
    <t>This Norco Networking Group does a lot with the chamber. It is a smaller setting and I have been able to make great connections with them. There are always some new faces each week.</t>
  </si>
  <si>
    <t>Norco Lunch With Friends</t>
  </si>
  <si>
    <t>Louis VanderMolen Elementary Career Day</t>
  </si>
  <si>
    <t>Small group for the lunch and learn. Great way to get some one on one time with chamber members in a smaller setting.</t>
  </si>
  <si>
    <t>Fontana Chamber Lunch &amp; Learn</t>
  </si>
  <si>
    <t>Wake up whittier announced our joining with the chamber and had my introduce myself. Multiple people came up to me afterwords excited that we are a port of the community.</t>
  </si>
  <si>
    <t>Wake Up Whittier</t>
  </si>
  <si>
    <t>Sadie Gribbon, Connie Royal</t>
  </si>
  <si>
    <t>A lot of poeple asking about SB Airport and if it has effected ONT's numbers. The setup was conducsive to allowing many poeple to walk through, not a ton of promo needed for this event but would reccommend bringing tote bags next year as a lot of people asked is we had any and other vendors did not.</t>
  </si>
  <si>
    <t>San Bernardino State of the County</t>
  </si>
  <si>
    <t>Always a great chamberÖ very active, lots of networking opportunities and connections.</t>
  </si>
  <si>
    <t>This Kiwanis club really appreciates when I stop in and update them on ONT. They are all frequent travelers and almost all use ONT and love it.</t>
  </si>
  <si>
    <t>Walnut Valley Kiwanis Club Meeting</t>
  </si>
  <si>
    <t>Small setting presentation. Lots of good questions and people from multiple City Lions Clubs in attendence.</t>
  </si>
  <si>
    <t xml:space="preserve">*Speaking* Rialto Lions Club </t>
  </si>
  <si>
    <t xml:space="preserve">Multichamber mixer had 30 second commercials like the last one. Irwindale seems to be having more events. </t>
  </si>
  <si>
    <t>Irwindale Miltichamber Mixer</t>
  </si>
  <si>
    <t>Irwindale</t>
  </si>
  <si>
    <t>Always a great turnout, Mayor Bill Zimmerman id always happy to see ONT in Menifee and have made a lot of great connections with city and chamber leadership. Had 1 minute to talk about ONT in front of the entire group and field questions.</t>
  </si>
  <si>
    <t>This was a great multi-chamber mixer. A solid 2 hours of networking before the game in the rose garden. Angels CE was excited to meet ONT and connect. Had a lot of members form multiple OC chambers come up to me to talk and was able to really engage with a lot of OC chambers in one place.</t>
  </si>
  <si>
    <t>Multi-Chamber Mixer Night at Anaheim Angels</t>
  </si>
  <si>
    <t>HUGE turnout, next year we need a minimum of 3 CE team members it was nonstop!! MUST have at least one spinwheel but reccommend 2 spinwheels next year if we are able to bring an additional table (Longo did so I don't see it being a problem). Consistent line of 30-50 people waiting to use spinwheel, GREAT OPP for surveys.  A lot of trvaleres taking ONT to Taipei.</t>
  </si>
  <si>
    <t>Arcadia Moon Festival</t>
  </si>
  <si>
    <t>one of the five that volunteered to help, unorganized ending to collaborative</t>
  </si>
  <si>
    <t>Volunteering</t>
  </si>
  <si>
    <t>CVLC Chino Community Theatre Event</t>
  </si>
  <si>
    <t>Paredez, Emily and Sadie Gribbon</t>
  </si>
  <si>
    <t>smaller turnout but spread the word about sunflower program</t>
  </si>
  <si>
    <t>City of chinos All inclusion community event</t>
  </si>
  <si>
    <t>Great free promotion anytime ONT is nominated for an award</t>
  </si>
  <si>
    <t xml:space="preserve">Murrieta/Wildomar Chamber Awards Gala </t>
  </si>
  <si>
    <t>murrieta</t>
  </si>
  <si>
    <t xml:space="preserve">Great event to build relationships and build connections </t>
  </si>
  <si>
    <t xml:space="preserve">Temecula Valley Chamber Young Professionals Luncheon </t>
  </si>
  <si>
    <t xml:space="preserve">Paredez, Emily  </t>
  </si>
  <si>
    <t>Great crowd and great feedback</t>
  </si>
  <si>
    <t>Chino Valley Real Estate Professionals Meeting</t>
  </si>
  <si>
    <t>This was the first time this chamber has held a "best of" awards luncheon. It was very well attended, but the program was a little disorganized and it was very hard to hear. Ultimately I don't think I'd attend this particular event again because I only interacted with a few people and didn't feel like I was able to network effectively.</t>
  </si>
  <si>
    <t>Placentia Chamber's Best of Placentia Awards Lunch</t>
  </si>
  <si>
    <t xml:space="preserve">Event audience keeps expanding for this event. </t>
  </si>
  <si>
    <t xml:space="preserve">Jurupa Valley Chamber Networking Meeting </t>
  </si>
  <si>
    <t>Sadie Gribbon, Emily Paredez, Connie Royal</t>
  </si>
  <si>
    <t>This event was not the best opportunity for networking, it did give a lot fo insght to the travel planning industry and corporate travel planners. However, the mixers that are coming up ar enot such a formal seated event which could lead to better networking prospects. My one concern is that this group may be aimed toward Quinn as there are multiple reps from airlines in attendance.</t>
  </si>
  <si>
    <t>Travel Planner Forum</t>
  </si>
  <si>
    <t>West Hollywood</t>
  </si>
  <si>
    <t>CANCELED DUE TO FIRE</t>
  </si>
  <si>
    <t>Lake Elsinore Hump Day Breakfast</t>
  </si>
  <si>
    <t>LEUSD Student of the Month</t>
  </si>
  <si>
    <t>Ended up speaking about YTD pax numbers, summer travel and valet for about four minutes and got a lot f airtime so that ws great. Not as big of a turnout as usual but healthy, will pick up as summer season comes to an end</t>
  </si>
  <si>
    <t>Smaller event but great place to make connections</t>
  </si>
  <si>
    <t xml:space="preserve">Temecula Valley Chamber Women's Professional Collective </t>
  </si>
  <si>
    <t>This group is worth waking up before the sunrise for! They are very engaging and are very appreciative to have an ONT rep there.</t>
  </si>
  <si>
    <t>Chamber is in the middle of chamging things. They will be having more events going forward.</t>
  </si>
  <si>
    <t>Rialto Chamber Meeting</t>
  </si>
  <si>
    <t xml:space="preserve">Well attended and very engaged crowd. </t>
  </si>
  <si>
    <t xml:space="preserve">*Speaking* Rotary Club of Murrieta </t>
  </si>
  <si>
    <t>2nd time at this event. Not a lot of networking time, more of a monthly community updates</t>
  </si>
  <si>
    <t>Creative way to network w/o leaving office</t>
  </si>
  <si>
    <t xml:space="preserve">Netwroking </t>
  </si>
  <si>
    <t>A club that is also associated with the Norco Chamber. Good one to go to since there are different people that go to it that are not a part of the chamber.</t>
  </si>
  <si>
    <t>Norco Lunch With Friends Network Group</t>
  </si>
  <si>
    <t>going under new leadership and way more people are attending events with city council more involved</t>
  </si>
  <si>
    <t>La verne chamber of commerce</t>
  </si>
  <si>
    <t>Great turnout</t>
  </si>
  <si>
    <t>eastvale chamber of commerce Mixer</t>
  </si>
  <si>
    <t>Awesome turnout! This was my first time at the lunch mob and I'll definitely be returning for the next ones. Great networking opporunities!!</t>
  </si>
  <si>
    <t>Smaller crowd this time, but always a welcoming group with a lot of community influence. They asked me what was new at the airport, and even though I didn't have an official speaking engagement with them, they let me give like a 2 minute commercial</t>
  </si>
  <si>
    <t>Network Lunches always have a 30 second commercial. After each one there is always a few people who come up to me with stories, questions, or comments.</t>
  </si>
  <si>
    <t>Norco Chamber Network Lunch</t>
  </si>
  <si>
    <t>Not a huge rotary but they have been struggling to grow since Covid. Chamber Director and Riverside county school board member present. Was able to get a speaking opoprtunity out of it for a KW in Lake Elsinore that has almost 200 agents so that is a plus.</t>
  </si>
  <si>
    <t>*Speaking* Lake Elsinore Rotary</t>
  </si>
  <si>
    <t xml:space="preserve">Greater High Desert Valley Morning Insight Breakfast </t>
  </si>
  <si>
    <t>Small group, but as mentioned before, it's a group made up of mostly young professionals, so it's nice to be around a different demographic. They are parents of young children and many travel a lot and have shared how ONT is their preferred airport.</t>
  </si>
  <si>
    <t>Covina Valley Optimist</t>
  </si>
  <si>
    <t>Glendora Chamber networking event</t>
  </si>
  <si>
    <t>Always well attended</t>
  </si>
  <si>
    <t>18th Annual Women in Business Conference</t>
  </si>
  <si>
    <t>Steph on panel filling in for Elisa</t>
  </si>
  <si>
    <t>Presenting/Booth</t>
  </si>
  <si>
    <t>*Speaking* Chino Valley/Ontario Women Conference</t>
  </si>
  <si>
    <t xml:space="preserve">Always a great event, it is a toss-up each time on if we will get a 30  second spot depending on time but the presenter did not show up so my 30 second spot turned into a three minute talk since chamber members had some questions about the airport. </t>
  </si>
  <si>
    <t>Menifee Midday Mixer</t>
  </si>
  <si>
    <t>This is always a great turnout, still no push to have us join, their breakfast sponsor/speaker schedule is booked out to 2027 which shows great participation but there are a lot of great connections from around the county in attendance at each event.</t>
  </si>
  <si>
    <t xml:space="preserve">For this event you are sitting at a table getting to know the people you are sitting with. These events are growing a lot! </t>
  </si>
  <si>
    <t>Fontana Chamber Network Lunch</t>
  </si>
  <si>
    <t xml:space="preserve">Coffee with the City of Murrieta </t>
  </si>
  <si>
    <t>Coffee with a Cop (Arcadia)</t>
  </si>
  <si>
    <t>Women in business connections</t>
  </si>
  <si>
    <t xml:space="preserve">Ribbon Cutting and dedication of the new bridge that connects Norco and Eastvale. Invite was sent out by the Norco Chamber to attend. It was very nice to see both cities come together for this event. </t>
  </si>
  <si>
    <t>City of Norco Bridge Ribbon Cutting, Attended with Norco Chamber</t>
  </si>
  <si>
    <t>smaller turnout than expecting. Great location and easy set up. Dont need to be there early and pick Saturday because more traffic</t>
  </si>
  <si>
    <t>626 Night Market</t>
  </si>
  <si>
    <t>This was a great event, Supervisor Karen Spiegel spoke about county issues and updates as well as offered a ton of insight to what Riverside county is needing. Aleways a ton of officials from Lake Elsinore, Temecula, Corona and the county in attendance and is a great room to be in.</t>
  </si>
  <si>
    <t>Economic Workforce Development Committee of Lake Elsinore</t>
  </si>
  <si>
    <t>Really big turnout this time. This chamber is growing and very lively!</t>
  </si>
  <si>
    <t>Upland Chamber of Commerce</t>
  </si>
  <si>
    <t>Wake up whittier was a great networking event. Because we are joining the chamber I was able to introduce myself to all the attendees.</t>
  </si>
  <si>
    <t>Whittier Chamber- Wake up Whittier</t>
  </si>
  <si>
    <t>This was a good turnout, had quality time to talk to each member, an open forum to have community and county-wide conversations. Had some great conversations about transportation to ONT and input form longtime community members on what they would like to see from ONT as well as had a chance to dispell any false narratives about the airport/LAWA.</t>
  </si>
  <si>
    <t>Monrovia Lunch Mob</t>
  </si>
  <si>
    <t>Monrovia</t>
  </si>
  <si>
    <t>Emily Paredez, Jennifer Contreras, Sadie Gribbon</t>
  </si>
  <si>
    <t>Emily graduated from the collaborative and team attended to support</t>
  </si>
  <si>
    <t>CVLC Graduation and Innovation Event</t>
  </si>
  <si>
    <t>Not worth attending for networking. This was just a presentation with no networking and no knowledge of who else was part of the webinar.</t>
  </si>
  <si>
    <t>LA Chamber Webinar</t>
  </si>
  <si>
    <t>Online</t>
  </si>
  <si>
    <t>The network meetings the Fontana have been hosting are a great way to network. Each time i see familiar faces and meet new people as well.</t>
  </si>
  <si>
    <t>Fontana Networking Meeting</t>
  </si>
  <si>
    <t>Sadie Gribbon and Connie Royal</t>
  </si>
  <si>
    <t>Highly reccommend to do every year, a lot of the studentds we spoke with did not know of ONT and all of them were from around the world. Keep in touch with Taivna Mills for other events with internation students for colleges. Additionbally, a lot of parents were there as well who did not know of ONT and will be flying to visit.</t>
  </si>
  <si>
    <t>Claremont Colleges International Student Fair</t>
  </si>
  <si>
    <t>Toured Chaffey College Community Center, the culinary arts program, had an introduction from the dean, and heard from small businesses</t>
  </si>
  <si>
    <t xml:space="preserve">Chino Valley Leadership Collaborative </t>
  </si>
  <si>
    <t>Jennifer Contreras and Sadie Gribbon</t>
  </si>
  <si>
    <t xml:space="preserve">*Atif Speaking* Good Morning Corona </t>
  </si>
  <si>
    <t>chamber breakfast had a good turn out and we were all able to do a round table introduction.</t>
  </si>
  <si>
    <t>Connie Royal and Jordie Annen</t>
  </si>
  <si>
    <t>Awesome event, and lots of networking with OC folks who I've met at other events. We received really great feedback from the community about ONT and I think we should make this an annual event.</t>
  </si>
  <si>
    <t>Taste of Placentia</t>
  </si>
  <si>
    <t>Small group this go around but a lot of folks were out because of Back to School</t>
  </si>
  <si>
    <t xml:space="preserve">First time at the Rialto Chamber lunch. Supervisor Joe Baca Jr. did announcements about area and what he does as Supervisor. We all did 30 second commercial introductions. They do a breakfast every quarter. </t>
  </si>
  <si>
    <t>Good Morning Rialto</t>
  </si>
  <si>
    <t>Even though it was a seated luncheon and program, there was plenty of time before and after to network, and I met loads of people from various parts of OC. In my networking, I found that people were surprised that a rep from ONT came all the way down there, and I actually received a lot of comments of, "Well I like ONT better than John Wayne Airport, I just forget about it sometimes when I book a flight". A lot of OC folks told me they don't particular care for the short runway and curfew of SNA either. I also thought it was a bit of healthy competition to be in SNA's territory, feeling like keep your friends close, keep your enemies closer type of vibe lol! I think there could be a way to either sponsor this event next year or definitely have more ONT CE team members attend so we're walking in with full force to remind people of why ONT is so much better than John Wayne.</t>
  </si>
  <si>
    <t>OC State of the County</t>
  </si>
  <si>
    <t>Newport Beach</t>
  </si>
  <si>
    <t>*Speaking* Corona Rotary Club</t>
  </si>
  <si>
    <t xml:space="preserve">Great way to connect with folks w/o having to physically attend event. </t>
  </si>
  <si>
    <t xml:space="preserve">Greater High Desert Coffee Break </t>
  </si>
  <si>
    <t>We sat at round tables and were able to converse with everyone at the table.</t>
  </si>
  <si>
    <t>great turn out and gives good opportunities to speak</t>
  </si>
  <si>
    <t>Glendora chamber luncheon</t>
  </si>
  <si>
    <t>Chamber breakfast had a good turn out and we were all able to do a round table introduction.</t>
  </si>
  <si>
    <t>Montclair Chamber Breakfast</t>
  </si>
  <si>
    <t xml:space="preserve">Well attended event, but difficult to network since there is a set agenda. Must arrive early or stay after to make connections. </t>
  </si>
  <si>
    <t xml:space="preserve">Good Morning Riverside </t>
  </si>
  <si>
    <t>I always meet new people in these meetings. The chamber is growing more and more each month.</t>
  </si>
  <si>
    <t>Norco Networking Lunch</t>
  </si>
  <si>
    <t xml:space="preserve">Great group. My goal is to book a presentation at this meeting. </t>
  </si>
  <si>
    <t>Riverside Chamber of Commerce- Business in Action</t>
  </si>
  <si>
    <t>Great connections in the room. This was a lively crowd and would prioritze speaking here again over the Chino Rotary.</t>
  </si>
  <si>
    <t>*Speaking* Chino Hills Rotary Club</t>
  </si>
  <si>
    <t>Booth for city</t>
  </si>
  <si>
    <t>National Night Out - Ontario</t>
  </si>
  <si>
    <t>Always about the same size of people. I LOVE this Chamber. They are very warm and welcoming, I love the format of the meetings, and I truly feel like I am making progress with convincing people to use ONT over John Wayne!</t>
  </si>
  <si>
    <t>Yorba Linda Chamber of Commerce Luncheon</t>
  </si>
  <si>
    <t>CE Team</t>
  </si>
  <si>
    <t>Next year, discuss with OC Fair having the pass to bring the van up through the parking lot so we do not have to exit out of the green gate with the general public (safety concern). Also, survey monkey was glitching so make sure that you can easily submit zip codes and have no glitch issues.</t>
  </si>
  <si>
    <t>2024 OC Fair Booth Activation</t>
  </si>
  <si>
    <t>Costa Mesa</t>
  </si>
  <si>
    <t>The Rise &amp; Shines are great for getting info on what will be going on with the Chamber. It is a sit down though with limited time for networking. Could eb good for presenting.</t>
  </si>
  <si>
    <t>Redlands Rise and Shine</t>
  </si>
  <si>
    <t>Big turnout and give an opportunity to speak in front of the crowd. Got asked to join a roundtable for the airport</t>
  </si>
  <si>
    <t>Great turn out, this Chamber is very active I highly reccommend attending more events at this chamber. They are also a part of ACC-OC and have at least three events each month plus signature events (7 per year).</t>
  </si>
  <si>
    <t>Good Morning Anaheim Networking Breakfast</t>
  </si>
  <si>
    <t>Great turn out and always good opportunities to speak</t>
  </si>
  <si>
    <t>eastvale chamber of commerce</t>
  </si>
  <si>
    <t>Great turn out, the group had nothing but great things to share about ONT.</t>
  </si>
  <si>
    <t>*Speaking* San Gorgonio Pass Rotary Club</t>
  </si>
  <si>
    <t>San Gorgonio</t>
  </si>
  <si>
    <t xml:space="preserve">Smaller group, not a meeting I would regularly attend. </t>
  </si>
  <si>
    <t>*Speaking* San Jacinto Rotary</t>
  </si>
  <si>
    <t>San Jacinto</t>
  </si>
  <si>
    <t>This rotary is always very welcoming, and I'm definitely building relationships here. I always get a lot of great feedback from this group on the airport.</t>
  </si>
  <si>
    <t>This event was more of a classroom setting with no networking time. Not worth attending again unless the topic is relevant.</t>
  </si>
  <si>
    <t>Norco Chamber Workshop</t>
  </si>
  <si>
    <t>paredez, emily</t>
  </si>
  <si>
    <t>Women in business celebration</t>
  </si>
  <si>
    <t>Always a big group and very engaging. We are able to give a :30 commercial and I can tell on people's faces they are pleased to have me there and anxious to ask questions.</t>
  </si>
  <si>
    <t>Nice turnoutÖ this group is always about this size. Great opportunity to present, and they asked really engaging questions.</t>
  </si>
  <si>
    <t xml:space="preserve">*Speaking* Walnut Valley Rotary Club </t>
  </si>
  <si>
    <t>This event had a great turn out! Everyone did a 30 second commercial. It was a nice to see who comes to the Irwindale events.</t>
  </si>
  <si>
    <t>Irwindale Multi Chamber Mixer</t>
  </si>
  <si>
    <t>Good turnout, would reccommend doing this event in the Fall, usualkly there are closer to 100 attendees however summer tends to make the crowds smaller in this ORG. A lot of great questions and had somebody ask about the big shutdown so I was able to bring up our IT teama nd the airport's recognition in socal newspapers for handling the situation quickly and efficiently so passengers did not deal with as many issues as other airports across the world.</t>
  </si>
  <si>
    <t>*Speaking* WEREP Breakfast</t>
  </si>
  <si>
    <t xml:space="preserve">This Rotary was very large and active with the community. They asked a lot of questions and donated a book to the school district about planes in my name. </t>
  </si>
  <si>
    <t>*Speaking* Redlands Rotary</t>
  </si>
  <si>
    <t>*Speaking*  Claremont Kiwanis Club</t>
  </si>
  <si>
    <t>Paredez, Emily, Sadie, Jordie, Steph</t>
  </si>
  <si>
    <t>Networked and spoke in front of the audience</t>
  </si>
  <si>
    <t>Chino Valley Business Awards</t>
  </si>
  <si>
    <t>Great turnout and allows us to do a pitch and was able to speak to a larger crowd</t>
  </si>
  <si>
    <t>Medium sized group, and always very welcoming. Lots of dedicated and passionate business owners. They are also a part of the CBA (Chamber Business Alliance) and we've been to their Spring Mixer, which was a GREAT turnout, and hoping to attend their Fall Mixer.</t>
  </si>
  <si>
    <t>La Habra Chamber of Commerce Connect Up</t>
  </si>
  <si>
    <t>As usual everyone gives a 30 second commercial. This time however, they asked me back up to give an update on new flights and programs as well as answer some questions for about 5 minutes.</t>
  </si>
  <si>
    <t>Norco Chamber Event</t>
  </si>
  <si>
    <t>Great turnout, have plans to do a vilunteer packing event for MilVet (the sponsor) as it is a great networking opp and also shows our committment to veterans and the community. Met the DMO for Meniffe (Explore Menifee) and have a meeting scheduled soon to see how we can collaborate. Also got some facetime with city council and other business owners, also following up with Habitat for Humanity for their upcoming seasonal events and booth opps (Inland Empire Habitat for Humanity)</t>
  </si>
  <si>
    <t>The event started late so I had a lot of time to netywork and meet a lot of folks ranging form the president of MVCC, to city officiailas and business owners. Was offered opp to speak but we need to become member and this is not an area near our secondary catchment zone that we are currently focusing on. ***Make sure to stay after to help Janet after these events sine she ends up being one of the only people putting the equiptment away and she is elderly.</t>
  </si>
  <si>
    <t>This is the last Networking @ Noon event for the Chamber. They're switching to a breakfast with the hopes of higher attendance.</t>
  </si>
  <si>
    <t>Brea Chamber Networking @ Noon</t>
  </si>
  <si>
    <t>Large group, always a great turnout. I had an opportunity to share information on our parking promo.</t>
  </si>
  <si>
    <t>Small group, but active in the community. They're always happy when I'm there and very welcoming.</t>
  </si>
  <si>
    <t>smaller group but very active and passionate about the airport. Most attended our mixer and had great feedback</t>
  </si>
  <si>
    <t>This networking event was a sit down lunch. There was old and new faces, so a great one to attend.</t>
  </si>
  <si>
    <t>This netrwork meeting was a lot bigger than the last. Lots of new faces and I met a few nice people who love the airport!</t>
  </si>
  <si>
    <t>Rise and Shine Networking Breakfast</t>
  </si>
  <si>
    <t>The mixer had a Bingo game that made everyone walk aaround the room meet eachother to network. Thje chamber does a great job of getting people to move around!</t>
  </si>
  <si>
    <t>Redlands Chamber Mixer</t>
  </si>
  <si>
    <t>A lot of great feedback about how much they love ONT. One woman told me that she was flying out of ONT to LAS that night, and I shared the summer parking promo with her.</t>
  </si>
  <si>
    <t>Covina Rotary Club Luncheon</t>
  </si>
  <si>
    <t>This was not as large of a turnout as typical breakfasts, however it was outdoors and very hot so I think that deterred some folks. I was able to have some quality conversations with city government leaders and the mayor (Bill Zimmerman) who is also the prmary historian for the city so took advantage of that background knowledge and history on the city and its growth. Met some new faces who ended up attending the MCM that week!</t>
  </si>
  <si>
    <t>I was able to share the summer parking promo with them, and 2 people pre-booked right in front of me!</t>
  </si>
  <si>
    <t>Temecula Valley Chamber- Valley Young Professionals Luncheon</t>
  </si>
  <si>
    <t>Toured different businesses in Pomona and got to catch up with the Pomona chamber CEO</t>
  </si>
  <si>
    <t>Chino Valley leadership Collaborative</t>
  </si>
  <si>
    <t>Great and unique way to present and network via zoom</t>
  </si>
  <si>
    <t>This chamber is always very welcoming and I enjoy coming to their meetings. I also hope to join!</t>
  </si>
  <si>
    <t>Placentia Chamber Power Networking Lunch</t>
  </si>
  <si>
    <t>This group always has a really great turnout, considering it's so early in the morning! The guest speaker was the district general that oversees other Rotary clubs in North OC, so it was nice to meet him.</t>
  </si>
  <si>
    <t xml:space="preserve">A lot of great feedback on how they learned a lot from the presentation! </t>
  </si>
  <si>
    <t>*Speaking* Montclair Chamber Breakfast</t>
  </si>
  <si>
    <t>Connie Royal, Emily Paredez, and Jenny Contreras</t>
  </si>
  <si>
    <t>Very hard to network at this event because it was a set program/presentation. The economic forecast presentation was interesting thought, and ONT got a mention (when he talked about how travel numbers are up)</t>
  </si>
  <si>
    <t>2024 Economic Forecast</t>
  </si>
  <si>
    <t xml:space="preserve">The Chamber event was really nice, I was able to do an announcement about MCM (last day to sign up.) A few people came up to me to get the information after. </t>
  </si>
  <si>
    <t>Coffee Connections Grand Terrace</t>
  </si>
  <si>
    <t>Grand Terrace</t>
  </si>
  <si>
    <t>Smaller chamber but they were very excited to have us present</t>
  </si>
  <si>
    <t xml:space="preserve">*Speaking* Good Morning Perris </t>
  </si>
  <si>
    <t>Perris</t>
  </si>
  <si>
    <t>Did not get to do the 30 second elevator pitch per usual due to the number of guests in attendance, great turnout as always, found another group in Lake Elsinore (similar to a YPN) to speak at, receieved a lot of positive feedback and comments on SAN airport that were not positive.</t>
  </si>
  <si>
    <t>Lake Elsinore Hump Day Morning Mixer</t>
  </si>
  <si>
    <t>*Speaking* Upland Rotary Club</t>
  </si>
  <si>
    <t>Better turnout than usual</t>
  </si>
  <si>
    <t>Stephanie King and Sadie Gribbon</t>
  </si>
  <si>
    <t>Directror of the Chamber, Randy Lopez, has really adopted the "SoCal So Easy" tagline</t>
  </si>
  <si>
    <t>*Speaking* Claremont Business Over Breakfast</t>
  </si>
  <si>
    <t>Better turnout than usual and received feedback regarding pre-book parking</t>
  </si>
  <si>
    <t>Well attended great place network.</t>
  </si>
  <si>
    <t xml:space="preserve">Inside Downtown </t>
  </si>
  <si>
    <t>This lunch mob event was held at a Clyde's Hot Chicken restaurant and it was a bit tight inside, so I was only able to network with the folks I was sitting near. It was also a bit loud in the restaurant because of the music. If I were the chamber, I would have turned down the music so people could better network.</t>
  </si>
  <si>
    <t>This was my first time attending a Walnut Valley Rotary club meeting. They were very welcoming and they are very active in the community. They have invited me back for a speaking engagement at the end of the month.</t>
  </si>
  <si>
    <t>Always a great turn out at this event and easy way to network</t>
  </si>
  <si>
    <t>B@B Chino Valley Chamber</t>
  </si>
  <si>
    <t>This was my first Covina Valley Optimist group. They are made up of young professionals, and their group started during COVID. They raise money to help less fortunate children in the community. Very active and boistrous. They meeting twice a month, and this is definitely an organization that I will be keeping in touch with!</t>
  </si>
  <si>
    <t>This group is very active, as I mentioned before. A few members of the West Covina Kiwanis joined this meeting today, and I've met them a few times. They collaborate really well together.</t>
  </si>
  <si>
    <t>Walnut Valley Kiwanis</t>
  </si>
  <si>
    <t>Good turnout, first time attending a Monrovia event. Had a minute to speak about ONT and the MCM in front of the entire group and made a lot of great connections. Did not see anyone from Arcadia chamber which is something to keep in mind. Mayor was in attendance and was interested in coming to MCM - sent individual invite to her.</t>
  </si>
  <si>
    <t>Monrovia Coffee Social</t>
  </si>
  <si>
    <t xml:space="preserve">New Networking events that the chamber has been trying to get going. Good attendence and perfect for networking. </t>
  </si>
  <si>
    <t>Huge turnout! They welcomed me to the group and I was able to give a :30 commercial about the airport. Lots of great questions and warm reception. I'll definitely be back!</t>
  </si>
  <si>
    <t>Yorba Linda Woman's Club</t>
  </si>
  <si>
    <t xml:space="preserve">Jennifer Contreras and Sadie Gribbon </t>
  </si>
  <si>
    <t>We were sitting in a spot that looked like it would be the registration desk which turned out to be a good thing because we were able to capture a lot of engagement. Met a lot of county leaders as well as some out of state attendees and had some great quality conversation about ONT amd the Southern Califonria region.</t>
  </si>
  <si>
    <t>WRCOG General Assembly and Leadership Conference</t>
  </si>
  <si>
    <t>Good turnout, was ablr to get the MCM out there more and network with city and county officials. Always a good event to go to.</t>
  </si>
  <si>
    <t>Economic Workforce Development Comittee Luncheon</t>
  </si>
  <si>
    <t>This event has a set agenda so it can be difficult to network outside. Most networking takes place before or after the event.</t>
  </si>
  <si>
    <t>Large audience at this event. It was well attended and lots of great connections in the room</t>
  </si>
  <si>
    <t>Multi Chamber Mixer - Rancho, Chino, and Eastvale</t>
  </si>
  <si>
    <t>Great turn out for this event! Lots of people excited to network. I was told that all their events are well attended.</t>
  </si>
  <si>
    <t xml:space="preserve">Riverside Latino Network </t>
  </si>
  <si>
    <t>Very active group for the city of Diamond Bar. They were happy to have me there and want me to return after the summer (they go dark in July and August)</t>
  </si>
  <si>
    <t>Small group. They loved the presentation and said that they learned a lot!</t>
  </si>
  <si>
    <t>*Speaking* Norco Kiwanis Club</t>
  </si>
  <si>
    <t>This chamber connects us with a great audience. I was able to provide more information about our event and several signed up</t>
  </si>
  <si>
    <t>Tri County County - Filipino Chamber Event</t>
  </si>
  <si>
    <t>Lots of engagement and great questions! People learned things about the airport that they hadn't known before - like ONT+</t>
  </si>
  <si>
    <t>*Speaking* Brea Rotary Club</t>
  </si>
  <si>
    <t>Small group, but great opportunity to network. This is my second time attending this group's meeting, and they are very involved in the community.</t>
  </si>
  <si>
    <t xml:space="preserve">First time attending this event, there was several of the same individuals who attend the luncheon. </t>
  </si>
  <si>
    <t xml:space="preserve">Jurupa Valley Chamber - Sunrise Success Meetup </t>
  </si>
  <si>
    <t>Quality 30 second spot to talk about the MCM (and any other ONT items) at each breakfast which is great. The people of Menifee love the airport and love to talk about it so the vibe of the meetings are always really positive and collaborative. I always reccommend going to the Wake Up Menifee breakfasts when possible!</t>
  </si>
  <si>
    <t xml:space="preserve">Well attended lunch event. Great place to network </t>
  </si>
  <si>
    <t>We went bowling! It was so fun, and it was actually an awesome opportunity to interact with people and get to know them. Made great connections; including with the Diamond Bar mayor and his wife. Also spoke with a US Bank employee who manages several branches and he books corporate trips and would like to know more about ONT! Also - I promoted our MCM and many were excited and said they were going to attend.</t>
  </si>
  <si>
    <t>SGV Regional Chamber Strike Up Success</t>
  </si>
  <si>
    <t>Jordie Salvador</t>
  </si>
  <si>
    <t>Good  turn out! We all introduced ourselves before we started. I will be presenting at the next one.</t>
  </si>
  <si>
    <t>Small group. Not a lot of networking time, but they can help make public speaking better. I may visit them again with a larger group.</t>
  </si>
  <si>
    <t>Toast Masters Meeting</t>
  </si>
  <si>
    <t>This was a far less formal SOTC than I have been to for other events. It was a cocktail and small bites event which allowed for more mingling than typical. Would reccommend going next year, No sponsorship opportunities were available this year, check in with Karen MacNair about sponsoring opps next year.</t>
  </si>
  <si>
    <t>Arcadia State of the City</t>
  </si>
  <si>
    <t xml:space="preserve">Well attended luncheon. They would like to see ONT join chamber. </t>
  </si>
  <si>
    <t xml:space="preserve">Jurupa Valley Chamber Business Networking Meeting </t>
  </si>
  <si>
    <t>Great turnout and well planned event</t>
  </si>
  <si>
    <t>Multi Chamber Mixer - Pomona</t>
  </si>
  <si>
    <t>Larger audience than expected due to the venue and alot of people wanted to hear from the airport</t>
  </si>
  <si>
    <t>Glendora Chamber Luncheon</t>
  </si>
  <si>
    <t>Well attended, need to book presentation for early 2025. They are booked up for 2024.,</t>
  </si>
  <si>
    <t xml:space="preserve">Murrieta/Wildomar Chamber- Networking Breakfast </t>
  </si>
  <si>
    <t>Great turnout as usual, got to speak and advertise the MCM on 7/17 as well as parking promo, the city of Lake Elsinore is working on branding the city and hope to make more efforts to bring in tourism and want to potentially partner with the airport when that time comes.</t>
  </si>
  <si>
    <t>Hump Day Morning Mixer - Lake Elsinore</t>
  </si>
  <si>
    <t xml:space="preserve">Temecula Valley Chamber- June Chamber Brief </t>
  </si>
  <si>
    <t>Lots of time to speak, great questions, and audience was very engaged and interested in learning more about ONT</t>
  </si>
  <si>
    <t>La Verne Chamber of Commerce</t>
  </si>
  <si>
    <t>Smaller turnout than usual, some new faces and some familiar. Mayor is always in attendance to these lunches.</t>
  </si>
  <si>
    <t>Tasty Tuesday San Gabriel</t>
  </si>
  <si>
    <t>Great group; very active in the community. They were very happy to have me presenting; lots of great questions. The current president used to be a part of Ontario Rotary and said he's so proud and excited to see the growth of ONT.</t>
  </si>
  <si>
    <t>*Speaking* West Covina Kiwanis Club</t>
  </si>
  <si>
    <t>Small rotary, very happy to have me present and will be sending me more meetings to present to!</t>
  </si>
  <si>
    <t>*Speaking* SB Rotary</t>
  </si>
  <si>
    <t>Promoted MCM</t>
  </si>
  <si>
    <t xml:space="preserve"> Networking </t>
  </si>
  <si>
    <t xml:space="preserve">Smaller event but high community participation </t>
  </si>
  <si>
    <t xml:space="preserve">Murrieta/Wildomar Chamber- Coffee with the City of Wildomar </t>
  </si>
  <si>
    <t xml:space="preserve">Smaller group but they were excited to have us there! </t>
  </si>
  <si>
    <t>*Speaking*Riverside Sunrise Rotary Club</t>
  </si>
  <si>
    <t>Smaller than usual turnout for this Rotary; but it was a great opportunity for my presentation to be more interactive. I could tell they really took in the information that I was sharing.</t>
  </si>
  <si>
    <t>*Speaking* Covina Rotary Club Meeting</t>
  </si>
  <si>
    <t>Good tunrout, the airport got recognition for its support and partnership with the chamber, Stephanie King reinstalled as board member!</t>
  </si>
  <si>
    <t>Claremont Chamber Installation Lunch</t>
  </si>
  <si>
    <t>Always a great turn out at this event and prioritize it</t>
  </si>
  <si>
    <t>Eastvale Chamber of Commerce</t>
  </si>
  <si>
    <t>This was my first Lunch Mob for this Chamber and apparently they are normally this small. Pro - you really get to have genuine 1:1 convos with people. Con - not too much networking, but definitely met some great people.</t>
  </si>
  <si>
    <t>Sadie Gribbon and Emily Paredez</t>
  </si>
  <si>
    <t>Good tunrout, multiple chambers and city officials in attendance from the county (not just Chino), community members were excited we had the wheel and the swag there were not many booths with promo so we really stood out and had a lot of conversations about the summer parking promo.</t>
  </si>
  <si>
    <t>Supervisor Hagman Open House</t>
  </si>
  <si>
    <t xml:space="preserve">Well attended but must arrive early and stay later to network since it is a set agenda. </t>
  </si>
  <si>
    <t xml:space="preserve">High Desert- Valley Morning Insight </t>
  </si>
  <si>
    <t>Very large rotary club, would love to have me back just to attend as a guest in the future for lunch. They will be reaching out about sponsorship opportunities for the Rose Parade but nothing yet. All of the marketing collateral and swag was taken -- they loved it. Brought parking promo flyers, lugagge tags and hand sanitizers.</t>
  </si>
  <si>
    <t>*Speaking* Arcadia Rotary Club</t>
  </si>
  <si>
    <t>Small chamber mixer, Everyone was saying how excited they were for the Nashville Flight.</t>
  </si>
  <si>
    <t xml:space="preserve">Sadie Gribbon </t>
  </si>
  <si>
    <t>Huge turnout, multiple 30 second spots offered for me to speak about MCM and the new summer parking promo. Plenty of time to mingle and a more formal sit down lunch.</t>
  </si>
  <si>
    <t>Smaller than normal turnout; but a lot of great interactions and good questions during my presentation. They have approached me now several times about joining their corporate membership.</t>
  </si>
  <si>
    <t>*Speaking* West Covina Rotary Club</t>
  </si>
  <si>
    <t>Turnout was good for this event, a lot of great questions were asked and a very interactive crowd. Would reccommend speking at this event again next year.</t>
  </si>
  <si>
    <t>*Speaking* Moreno Valley Chamber BIA</t>
  </si>
  <si>
    <t>Small crowd and turnout. Still great to be present in this area but I wouldnt prioritize speaking at this event again</t>
  </si>
  <si>
    <t>*Speaking* Lake Arrowhead Rotary</t>
  </si>
  <si>
    <t xml:space="preserve">Jennifer Contreras and Jordan Salvador </t>
  </si>
  <si>
    <t xml:space="preserve">Event was not well attended on Sunday, but according to vendors it was very busy on Sat. Recommend Changing dates next year! </t>
  </si>
  <si>
    <t>On the Move: All Things That Go @ San Bernardino County Museum</t>
  </si>
  <si>
    <t>Connie Royal and Jordan Salvador</t>
  </si>
  <si>
    <t>Great turnout, about 400 people, and we weren't even on the main strip. If we can get on the main strip next year, I think we'll get even more engagements. It's a fun family event, definitely need to participate again!</t>
  </si>
  <si>
    <t>Taste of Brea</t>
  </si>
  <si>
    <t>paredez, Emily</t>
  </si>
  <si>
    <t>small turnout but building connections here</t>
  </si>
  <si>
    <t>Very small chamber and apparently this is the normal attendance for meetings - which is unfortunate IMO because the surrounding cities (ie. Yorba Linda and Placentia) are very well attended. This chamber plans on moving to their meetings to a breakfast with the hopes more people will attend. My speaking engagement was received well and they were grateful to have me there.</t>
  </si>
  <si>
    <t>*Speaking* Brea Chamber Networking @ Noon</t>
  </si>
  <si>
    <t xml:space="preserve">*Speaking* Riverside East Rotary Club Meeting </t>
  </si>
  <si>
    <t>Emily Paderez, Jennifer Contreras, and Jordie Salvador</t>
  </si>
  <si>
    <t xml:space="preserve">The event was very interesting. They had us in the conference room so that we could be a part of listening to the presentations. During breaks is when people came up to our booth. </t>
  </si>
  <si>
    <t>Serving With Purpose</t>
  </si>
  <si>
    <t>This chamber doesn't meet very often, but like the last chamber event I attended, it was well attended and people are very engaged.</t>
  </si>
  <si>
    <t>Connect in Covina</t>
  </si>
  <si>
    <t>Good turnout, mayor and city officials often in the crowd, 30 second spot to speak if wanted and I informed the chamber about our upcoming Multi-Chamber Mixer on July 17 with invitations and more detail to come</t>
  </si>
  <si>
    <t>So many people came up to the booth very happy to see us. There were about 6 people who were AVGeeks and said they fly out multiple times a week and will go nowhere else but ONT. The upcoming Nashville flight got a lot of people excited! There were also some people who had not flown out or only once. After giving them the flight map, they were surprised and said they will check it out.</t>
  </si>
  <si>
    <t xml:space="preserve">LA County Fair </t>
  </si>
  <si>
    <t xml:space="preserve">Big turn out, but the event was more auditorium based and not a very social setting. </t>
  </si>
  <si>
    <t>Fontana Chamber is growing every month. They introduced almost 10 more businesses into the chamber for this event. Now that I have been to two of these, I think that bringing a door prize would be a great idea.</t>
  </si>
  <si>
    <t>First time at this woman's club meeting. They have a huge turnout, and this group is the oldest service org in Covina. These woman have disposable incomes and make the travel arrangements for their families so it's definitely a group we want to get in front of consistently. I am working on getting a speaking opp in front of them in the fall (they go dark in the summer).</t>
  </si>
  <si>
    <t>Covina Woman's Club Luncheon</t>
  </si>
  <si>
    <t>This is a chamber that I definitely think we should join. The group is very active and support a lot of businesses. It's in the area that we are trying to hit hard with ONT as well.</t>
  </si>
  <si>
    <t>Placentia Chamber of Commerce Power Networking</t>
  </si>
  <si>
    <t>Great place to make connections. Reccomend taking a door prize for extra exposure</t>
  </si>
  <si>
    <t xml:space="preserve">Temecula </t>
  </si>
  <si>
    <t>Was able to make a mini presentation about myself and ONT; the President is so kind and welcoming. The group was filled with very passionate residents who care about businesses in the community. Great group to be around and will definitely be attending more meetings. Also working on a speaking opportunity in a few weeks.</t>
  </si>
  <si>
    <t>This one was a bust, the speaker for the event did not show up so it was only of us talking amongst eachother for about 45 minutes. Do not reccommend going again anytime soon(or until Matt Dobbler or Kim Cousins is hosting it). I will say that I had great quality conversations about the airports and was able to teach the 5 people who were there a lot about it!</t>
  </si>
  <si>
    <t>Lake Elsinore Young Professionals Luncheon</t>
  </si>
  <si>
    <t xml:space="preserve">Smaller crowd but if you take a door prize you have an opportunity for extra exposure. </t>
  </si>
  <si>
    <t xml:space="preserve">Great turnout but difficult to network because it is a set agenda. Must arrive early to network or linger around after to introduce yourself. </t>
  </si>
  <si>
    <t>Montclair was very happy to have me there to represent the airport. We did introductions to the whole group. I look forward to more events with them.</t>
  </si>
  <si>
    <t>Great turnout. Several people interested in working at OIAA specifically</t>
  </si>
  <si>
    <t>SBC Job Fair</t>
  </si>
  <si>
    <t>This seems to always be a great turnout. The mayor of San Gabriel (John Wu) is a HUGE ONT fan and gave the airport a lot of attention while speaking at the lunch. There are no presentation opportunities at this event but it is great for networking and showing up for the city -- a lot of city officials and small spots to speak when bringing a door prize.</t>
  </si>
  <si>
    <t xml:space="preserve">Smaller group, but they appreciated ONT going out to speak to them and booked another presentation from this event. </t>
  </si>
  <si>
    <t>*Speaking* Corona Circle City Kiwanis</t>
  </si>
  <si>
    <t>Great turnout, and they meet weekly. They were very happy to have ONT presense there and have already offered me a speaking opportunity for next month.</t>
  </si>
  <si>
    <t>Small but mighty group! They normally are about a group of 15 so they're not big at all, but they are definitely an organization who's meetings I will continue to attend because they are very active in the Walnut Valley/Diamond Bar community.</t>
  </si>
  <si>
    <t>This is a large rotary, great for us to get in front of. They will be reaching out for sponsorhsips from ONT it was brought up a couple of times but I have yet to recieve an email or any information requesting our sponsorhip. Will be presenting at the end of the month!</t>
  </si>
  <si>
    <t>Arcadia Rotary Club</t>
  </si>
  <si>
    <t>Toured two local businesses in Chino, working on the CVLC Community Good Project, and heard from So Cal Edison with extensive information</t>
  </si>
  <si>
    <t>Was approached about the corportate membershipÖ they are a very active group in the community and it's a priority to me to continue to attend their meetings and stay involved. Working on a speaking opportunity in the coming months!</t>
  </si>
  <si>
    <t>Covina Rotary Club</t>
  </si>
  <si>
    <t>This was the first prayer breakfast the Chamber has put on since COVID. It was very well attended with city and regional leaders and of course, lots of local spiritual leaders. I was only able to converse with folks at my table because of the set program.</t>
  </si>
  <si>
    <t>Regional Chamber of Commerce - SGV: Diamond Bar Mayor's Prayer Breakfast</t>
  </si>
  <si>
    <t xml:space="preserve">Well attended event with a set agenda, but great place to make connections. </t>
  </si>
  <si>
    <t xml:space="preserve">Mayor's Prayer Breakfast </t>
  </si>
  <si>
    <t>Norco had a small chamber lunch, I did a 30 second speech and got to know surrounding guests at the table. Lots of small businesses are a part of this chamber. Made some great connections!</t>
  </si>
  <si>
    <t>Norco Chamber Luncheon</t>
  </si>
  <si>
    <t>This is their weekly meeting and the second time I have attended. While it's a small group, it allows me to really get to know the main players of the organization. They are currently working on their Red Ribbon Week event that will take place this Fall and I am brainstorming ideas of how we can support.</t>
  </si>
  <si>
    <t xml:space="preserve">This event is a small-scale chamber breakfast with a presenter and it is less formal than MoVal's typical chamber breakfast. Great opoprutnity to get to know community members deeper, opportunity to have a 30 second spotlight at every meeting and was asked to come back and be a presenter so all in all a great event and alternative if the monthly breakfast is not an option that month due to scheduling. </t>
  </si>
  <si>
    <t>Moreno Valley Business in Action</t>
  </si>
  <si>
    <t xml:space="preserve">Well attended and even though there is a set agenda they build time within program to have attendees network. </t>
  </si>
  <si>
    <t xml:space="preserve">Greater High Desert Chamber Valley Morning Insight </t>
  </si>
  <si>
    <t>Sadie Gribbon and Jordie Salvador</t>
  </si>
  <si>
    <t xml:space="preserve">We had about 30 minutes before the event to mingle and network, a lot of officials at the event and a good program all around. I am aware that we were Chairman's Circle and not sure what that entailed, however ONT did not have any recognition during the program (again, not sure if we were supposed to). </t>
  </si>
  <si>
    <t>Chino Hills State of the City</t>
  </si>
  <si>
    <t>Well attended weekly meeting! They are very active and my first presentation went well! I'll definitely be attending more meetings with this group.</t>
  </si>
  <si>
    <t>*Speaking* Covina Sunrise Rotary</t>
  </si>
  <si>
    <t xml:space="preserve">Jenny Contreras </t>
  </si>
  <si>
    <t xml:space="preserve">Smaller Temecula Rotary group but they host a lot of community events and are well connected </t>
  </si>
  <si>
    <t>*Speaking* Temecula Sunrise Rotary</t>
  </si>
  <si>
    <t>Highly attended breakfast, offers 30 min in the beginning to network and plenty of spotlights to the businesses in the room during the breakfast. This would be a great group to get in front of during the breakfast since they do not have a speaking opportunity at their monthly luncheons.</t>
  </si>
  <si>
    <t>San Gabriel Chamber Networking Breakfast</t>
  </si>
  <si>
    <t>Jordie Salvador &amp; Connie Royal</t>
  </si>
  <si>
    <t>Not a usual State of the City Event. It was presented in an auditorium. We learned a lot about the city and what they offer the community. The event went on for longer than we thought it would and left before the dinner started which would have been 8pm.</t>
  </si>
  <si>
    <t>Azusa State of the City</t>
  </si>
  <si>
    <t>Great connections in the room and very well planned event.</t>
  </si>
  <si>
    <t>Chino Valley Chamber Mixer</t>
  </si>
  <si>
    <t>Sadie Gribbon and Stephanie King</t>
  </si>
  <si>
    <t>Good tunrout, not as optimal for mingling until later in the event but still got some activations in and deeper 1v1 conversations with the poeple in our bay. I would reccommend again to show support for the chamber.</t>
  </si>
  <si>
    <t>Claremont Chamber Golf "Tournament"</t>
  </si>
  <si>
    <t xml:space="preserve">Always a great turn out but difficult to network since event has a set agenda </t>
  </si>
  <si>
    <t xml:space="preserve">Highly attended, city leaders (mayor, city planner, economic dev.) and regional leaders (Riverside County DA and Sheriff). These are monthly -- talking to Matthew Dobbler about speaking opportunity for the Airport this summer. </t>
  </si>
  <si>
    <t>Economic Workforce Development Committee Luncheon</t>
  </si>
  <si>
    <t>Completely sold out, very fun and a ton of opporutnities to network. Prioritize this every month. 30 second spot to speak every evetn, multiple breaks to get up and network not all just at once. Bring a door prixe and get there early to drop it off for the business card raffle. Great community connections and organization leaders.</t>
  </si>
  <si>
    <t>Great opportunity to meet people in this chamber. It was my second event and everyone was very friendly!</t>
  </si>
  <si>
    <t>Great crowd and had lots of questions. Really was surprised in how dedicated everyone was to show up to the meetings in this club.</t>
  </si>
  <si>
    <t>Glendora Kiwanis Club</t>
  </si>
  <si>
    <t>Small gathering, event went on too long to do a 30 second speech. Major and City Manager were present.</t>
  </si>
  <si>
    <t>Norco Chamber Networking Breakfast</t>
  </si>
  <si>
    <t>Sadie Gribbon and Emily Paradez</t>
  </si>
  <si>
    <t>Solid multi-mixer, multiple city officials from all cities participating. Connected with a lot of transportation reps. Would reccommend a similar event again.</t>
  </si>
  <si>
    <t>Foothill Transit Mixer</t>
  </si>
  <si>
    <t>Very well attended event - and this is how it is every month for their Wake Up Whittier breakfast! I definitely want to attend another meeting and continue to assess whether it's a community we should direct some CE attention to.</t>
  </si>
  <si>
    <t>Fun bunch of people, city council members in attendance. The Director did not give the sponsor an opportunity to talk (forgot) so would inquire about a more formal event to speak at -- potentially a luncheon? Met a lot of business owners and made great connections with kiwanis and women's club memebrs for diversifying events in the city.</t>
  </si>
  <si>
    <t>Wake Up Menifee Breakfast</t>
  </si>
  <si>
    <t>Small group. A lot of member cross over from Yorba Linda and Brea Chamber. Trying to determine if the Placentia Chamber of Commerce is a community we should also focus on since it neighbors Yorba Linda and Brea. Will continue to follow and gauge.</t>
  </si>
  <si>
    <t>Placentia Power Networking</t>
  </si>
  <si>
    <t>Great crowd for an early morning weekly Rotary club! I was only able to chat with a few people at my table, but will definitely be attending again and hope to get on their list of speakers - they're booked thru the Fall!</t>
  </si>
  <si>
    <t xml:space="preserve">Good Turn out with a lot of new members recognised. Would be a good spot for a presentation. </t>
  </si>
  <si>
    <t>Great turnout. Asked to come back and speak on October 10. This is a very long event. They start around 10-11 for networking then 11-12 for their programa nd meeting then 12-1 for their speaker and questions. I left at 1:30 and they were still on the tail end of finisihing up. Would go one more time before speaking to stay involved. They are a very politically and geographically involved club in Lake Elsinore, a lot of great women to be connected with.</t>
  </si>
  <si>
    <t>Elsinore Women's Club Luncheon</t>
  </si>
  <si>
    <t>Decent turn out but very happy to have ONT at event.</t>
  </si>
  <si>
    <t xml:space="preserve">Jurupa Chamber Business Networking Meeting </t>
  </si>
  <si>
    <t>Smaller crowd, but attendees were engaged by information shared. This area is close enough for community to use SD and Palm Springs airport. Should look into data.</t>
  </si>
  <si>
    <t>*Speaking* Rotary Club of Perris</t>
  </si>
  <si>
    <t xml:space="preserve">always have an opportunity to speak. There are more and more people attending this event </t>
  </si>
  <si>
    <t>Glendora Chamber luncheon</t>
  </si>
  <si>
    <t>It was my first lunch mob - but I thought it was good attendance for a luncheon at a small local sandwich shop. I met a YL chamber member who is a DJ and I think he could be a great vendor for future events. I also got in contact with someone at the YL Woman's Club and will be attending one of their meetings soon. Will definitely be attending more Lunch Mobs!</t>
  </si>
  <si>
    <t xml:space="preserve">Temecula Chamber Power Networking </t>
  </si>
  <si>
    <t>Great crowd and had lots of questions. This rotary was well organized and made the process easy. I recommend speaking again here.</t>
  </si>
  <si>
    <t>*Speaking* Glendora Rotary Club</t>
  </si>
  <si>
    <t>Jenny Contreras and Sadie Gribbon</t>
  </si>
  <si>
    <t>Large production put together by the chamber. Although we were not selected as a winner of business of the year, it was still great promo. I like to think of this event as a chamber event for the real estate industry across the inland empire (realtors, title, loan officers, investors, housing developers, etc...)</t>
  </si>
  <si>
    <t>Temecula Valley Chamber of Commerce 58th Annual Gala</t>
  </si>
  <si>
    <t>Great attendance! They are a very active Rotary group and while I only got to personally interact with about 10 people, they were good connections. I am setting up a speaking opportunity with them for May.</t>
  </si>
  <si>
    <t>Covina Rotary Club Meeting</t>
  </si>
  <si>
    <t>Very small group, and this amount is their norm. Their membership rate is declining unfortunately. However, they are still incredibly active and they still put on events and support various programs in the Brea community. I will remain in communication with them to see how we can partner on future events.</t>
  </si>
  <si>
    <t>Brea Kiwanis Club Meeting</t>
  </si>
  <si>
    <t>Well attended by local business owners and city leadership.</t>
  </si>
  <si>
    <t xml:space="preserve">Riverside Chamber Inside Downtown </t>
  </si>
  <si>
    <t>Always a very well attended event with several city officials. I prioritize this event and the chamber is growing</t>
  </si>
  <si>
    <t>B@B Eastvale Chamber of Commerce</t>
  </si>
  <si>
    <t>Small group, did a 30 second speech and got to know surrounding guests at the table. Lots of small businesses are a part of this chamber.</t>
  </si>
  <si>
    <t>Norco Network Lunch</t>
  </si>
  <si>
    <t>Small group, but very engaged. Interested in having me back next month to speak. They are working on a Red Ribbon Week event this October and would like for us to partner/sponsor/donate in some way.</t>
  </si>
  <si>
    <t>West Covina Rotary Club Meeting</t>
  </si>
  <si>
    <t>Lake Elsinore Munch N Learn</t>
  </si>
  <si>
    <t xml:space="preserve">Smaller group but appreicated having ONT present. </t>
  </si>
  <si>
    <t>*Speaking* Riverside Rotary Club</t>
  </si>
  <si>
    <t xml:space="preserve">Always well attended and great place to make connections </t>
  </si>
  <si>
    <t>so many great connections here. This event consistently brings in new people to the chamber and helps find ways to connect with new faces</t>
  </si>
  <si>
    <t>Gribbon, Sadie, Salvador, Jordie, Paredez, Emily</t>
  </si>
  <si>
    <t>Multiple chambers attended, sold out event with tours of parts of the facility and a majority of the event time was spent networking and mingling. Great opportunity to reach multiple catchment areas at once, highly reccommend going to the next one.</t>
  </si>
  <si>
    <t>2024 Mega Mix Expo @ Southern California Edison</t>
  </si>
  <si>
    <t>Welcomed me as a guest, amazing turnout, 300+ total businesses in the chamber, a lot dignitaries for the city and county in the room, opportunity for raffle giveaway each week if you are a member only, definitley prioritize this event.</t>
  </si>
  <si>
    <t>Paredez, Emily, Stephanie King, Jordie Salvador</t>
  </si>
  <si>
    <t xml:space="preserve">Ontario State of the City </t>
  </si>
  <si>
    <t>small attendance but still great connections!</t>
  </si>
  <si>
    <t>San Dimas Chamber Monthly Luncheon</t>
  </si>
  <si>
    <t>Big attendance, but the overall event was okay. Still recommend attending next year to learn more about what is coming to the city.</t>
  </si>
  <si>
    <t>Upland State of the City</t>
  </si>
  <si>
    <t>Small group, but very active and asked a lot of questions. Was very happy to have ONT rep there, invited me back for a speaking opportunity.</t>
  </si>
  <si>
    <t>West Covina Kiwanis Club Dinner Meeting</t>
  </si>
  <si>
    <t>First time for this event to be in person. They had a very small crowd and dont recommend prioritizing this event until it grows more</t>
  </si>
  <si>
    <t>Pomona Chamber Coffee Connections</t>
  </si>
  <si>
    <t xml:space="preserve">Jenny Contreras, Jordan Salvador </t>
  </si>
  <si>
    <t xml:space="preserve">Well attended but event is a set agenda making it difficult to promote ONT. </t>
  </si>
  <si>
    <t>Wonderful event honoring fire, police and sheriff's. plenty of time top network at our table while eating lunch, we did not have an assigned table although we sponsored so something to look into ahead of time next year. A lot of representatives present, including Supervisor Hagman.</t>
  </si>
  <si>
    <t>Chino Valley Salute to Safety</t>
  </si>
  <si>
    <t xml:space="preserve">Small group but great place to network. </t>
  </si>
  <si>
    <t xml:space="preserve">Norco Business Breakfast Roundtable </t>
  </si>
  <si>
    <t>Connie Royal, Emily Paredez</t>
  </si>
  <si>
    <t>First time for Connie! Great group of folks who were enthusiastic for early morning! Made great connections. Very happy to have ONT reps there.</t>
  </si>
  <si>
    <t>The Covina Chamber Breakfast Club</t>
  </si>
  <si>
    <t>Jenny Contreras, Connie Royal</t>
  </si>
  <si>
    <t xml:space="preserve">Great crowd! Information was well received. Recommend speaking at this event again. </t>
  </si>
  <si>
    <t>*Speaking* Yorba Linda Chamber Network Connection Luncheon</t>
  </si>
  <si>
    <t>Norco College Industry Partners and Awards Breakfast</t>
  </si>
  <si>
    <t xml:space="preserve">Small Group. Mayor attended. Well recieved and lots of feedback and questions </t>
  </si>
  <si>
    <t xml:space="preserve">*Speaking* Rotary club of Menifee </t>
  </si>
  <si>
    <t>great connections at this event and more people than I was expecting</t>
  </si>
  <si>
    <t>Jenny Contreras, Sadie Gribbon</t>
  </si>
  <si>
    <t>Well attended, free breakfast, great place to make connections</t>
  </si>
  <si>
    <t xml:space="preserve">Lake Elsinore Chamber Hump Day Morning Mixer </t>
  </si>
  <si>
    <t>Paredez, Emily; Salvador, Jordan</t>
  </si>
  <si>
    <t>Small mixer, hard to know who was part of it and who was a hotel guest</t>
  </si>
  <si>
    <t>Fontana Chamber Mixer</t>
  </si>
  <si>
    <t xml:space="preserve">Smaller turnout that usual and very informal. </t>
  </si>
  <si>
    <t>Pomona Chamber Monthly Luncheon</t>
  </si>
  <si>
    <t>Small Group. City council members attended. They were happy to have ONT speak at their event.</t>
  </si>
  <si>
    <t xml:space="preserve">*Speaking* Rotary club of Victorville </t>
  </si>
  <si>
    <t>Not a very good event this time. Limited people and very quick program</t>
  </si>
  <si>
    <t>Smaller group but they were very happy to have us present.</t>
  </si>
  <si>
    <t>Temecula Valley Chamber Young Professionals Networking Luncheon</t>
  </si>
  <si>
    <t>Always very well attended and made some great connections</t>
  </si>
  <si>
    <t>Eastvale Breakfast Mixer</t>
  </si>
  <si>
    <t>Small turnout and very few attended. It appeared to have several different reasons why there was a small crowd. Hoping a bigger turnout next year.</t>
  </si>
  <si>
    <t>*Speaking*Chino Rotary Club</t>
  </si>
  <si>
    <t xml:space="preserve">Well attended, but difficult to make connections/mingle since event has a set agenda. </t>
  </si>
  <si>
    <t>Such a great group to present to, filled with questions, and would recommend presenting here again</t>
  </si>
  <si>
    <t>La Verne Rotary</t>
  </si>
  <si>
    <t>WIBC San Dimas Chamber</t>
  </si>
  <si>
    <t xml:space="preserve">Well attended game. Interactions with game attendees are very quick since they are rushing to get to their seats. </t>
  </si>
  <si>
    <t xml:space="preserve">USC Basketball Game </t>
  </si>
  <si>
    <t xml:space="preserve">More attendees than usual since the speaker was the Riverside County Supervisor. It would be a great event to have a booth at in the future. </t>
  </si>
  <si>
    <t>Great turn out for this event and made several new connections</t>
  </si>
  <si>
    <t xml:space="preserve">The club was intrested in the information shared, lots of questions asked. </t>
  </si>
  <si>
    <t xml:space="preserve">*Speaking* Rotary Club of Temecula </t>
  </si>
  <si>
    <t xml:space="preserve">This event is attended by the same folks every month, but they are appreciative of us attending. </t>
  </si>
  <si>
    <t>Great connections at this event and learned alot about the city</t>
  </si>
  <si>
    <t>La Verne Chamber Mixer</t>
  </si>
  <si>
    <t>Smaller turnouts but increasing presence here and great connections</t>
  </si>
  <si>
    <t>Glendora Chamber Mixer</t>
  </si>
  <si>
    <t xml:space="preserve">Well attended by local leaders from the surrounding areas. </t>
  </si>
  <si>
    <t xml:space="preserve">Murrieta/Wildomar Networking Breakfast </t>
  </si>
  <si>
    <t>Small crowd but was expected for this type of event. They partner with the San Dimas Chamber alot so similar connections in the room</t>
  </si>
  <si>
    <t xml:space="preserve">La Verne Chamber Lunch and Learn </t>
  </si>
  <si>
    <t xml:space="preserve">Smaller turnout but good opportunity to make connections. </t>
  </si>
  <si>
    <t>Temecula Valley Young Professionals Networking Luncheon</t>
  </si>
  <si>
    <t>Very small turn out and lots of vendors but little crowd. Vendors did mention that there was a lot of traffic in the afternoon and felt worth participating in.</t>
  </si>
  <si>
    <t>SGV Mega Mix Expo</t>
  </si>
  <si>
    <t>big turnout but based around the program</t>
  </si>
  <si>
    <t>Well attended by local leaders. I reccomend joining chamber!</t>
  </si>
  <si>
    <t>*Speaking* Greater High Desert Chamber Valley Morning Insight</t>
  </si>
  <si>
    <t>Decent turnout but alot of networking opportunities at this event</t>
  </si>
  <si>
    <t>Riverside Chamber of Commerce - BIA Event</t>
  </si>
  <si>
    <t>Great turnout and will prioritize this event next year</t>
  </si>
  <si>
    <t>Chino Valley Chamber - Chino Commercial Bank Mixer</t>
  </si>
  <si>
    <t>Smaller turnout than expected. However, great feedback and interaction with the crowd. There were several questions and able to have more of an indepth conversation about ONT</t>
  </si>
  <si>
    <t>San Dimas Chamber of Commerce</t>
  </si>
  <si>
    <t xml:space="preserve">There is always an opportunity for speak and introduce yourself. </t>
  </si>
  <si>
    <t xml:space="preserve">Well attended event. Only sponsors have reserved tabels. If you don't arrive on time you get a table at the end. </t>
  </si>
  <si>
    <t>All Chamber Mega Mixer</t>
  </si>
  <si>
    <t>Large audience at this event consistently and give you an opportunity to advertise your business in front  of this large audience. Prioritize this event.</t>
  </si>
  <si>
    <t>Arcadia Chamber of Commerce</t>
  </si>
  <si>
    <t xml:space="preserve">Smaller crowd, but they are happy to have our support. </t>
  </si>
  <si>
    <t>Norco Chamber Business Breakfast Roundtable</t>
  </si>
  <si>
    <t xml:space="preserve">Smaller crowd, but event is always attended by city leaders. </t>
  </si>
  <si>
    <t>Menifee Chamber Wake up Menifee</t>
  </si>
  <si>
    <t>very small turn out and not worth attending again</t>
  </si>
  <si>
    <t xml:space="preserve">Contreras, Jenny and Paredez, Emily </t>
  </si>
  <si>
    <t xml:space="preserve">Utilized free booth opportunity from membership benefit. Great way to quickly promote event. </t>
  </si>
  <si>
    <t xml:space="preserve">Corona Chamber Good Morning Breakfast  </t>
  </si>
  <si>
    <t>Well attended by local leaders.</t>
  </si>
  <si>
    <t xml:space="preserve">Murrieta/ Wildomar Chamber Networking Breakfast </t>
  </si>
  <si>
    <t>Great crowd but limited opportunities to network because it is based around the program</t>
  </si>
  <si>
    <t>Well attended and there is always an opportunity to give quick commercial.</t>
  </si>
  <si>
    <t>great turn out and always get an opportunity to speak here. This chamber did a great job advertising the 5K</t>
  </si>
  <si>
    <t xml:space="preserve">Requested to speak about 5k event and was added to presentation/agenda. </t>
  </si>
  <si>
    <t>Toured CIW and CIM. Such eye opening experiences</t>
  </si>
  <si>
    <t>Great turn out at these events. Got to pitch our 5K in front of a large audience and great connections in the room</t>
  </si>
  <si>
    <t xml:space="preserve">Very busy event, 3 people would have been best since it was nonstop but that of course is not always an option. Mostly children under the age of 10 so bringing more bubbles, yo-yos and planes is best. </t>
  </si>
  <si>
    <t>OFD Open House</t>
  </si>
  <si>
    <t>This is a great breakfast to go to with a high turnout of real estate agents who are talking about the region and housing. There are speaking opportunities for $250 -- would want to go a couple more times to ensure the turnout is always above 75 people.</t>
  </si>
  <si>
    <t>WEREP Friday Morning Networking Breakfast</t>
  </si>
  <si>
    <t xml:space="preserve">Small crowd, it seems to be the same people attend these events. </t>
  </si>
  <si>
    <t xml:space="preserve">Well attended by small businesses and local leaders. Reccomend joining chamber! </t>
  </si>
  <si>
    <t xml:space="preserve">Lake Elsinore Hump Day Morning Mixer </t>
  </si>
  <si>
    <t>I presented to two classes, each with about 35 students. These students were sophomores, juniors, and seniors enrolled in the school's inaugural aviation class. They asked great questions, and we got a pledge from their teacher to have a dozen of them volunteer for the 5K!</t>
  </si>
  <si>
    <t>Covina High School Aviation Class</t>
  </si>
  <si>
    <t>School</t>
  </si>
  <si>
    <t>Vandermolen Elem career day</t>
  </si>
  <si>
    <t>Chamber Mega Mixer</t>
  </si>
  <si>
    <t xml:space="preserve">Greater High Desert Chamber: Coffee Break </t>
  </si>
  <si>
    <t xml:space="preserve">High Desert </t>
  </si>
  <si>
    <t xml:space="preserve">Speaking </t>
  </si>
  <si>
    <t xml:space="preserve">*Speaking*French Valley Rotary Group </t>
  </si>
  <si>
    <t xml:space="preserve">Winchester </t>
  </si>
  <si>
    <t xml:space="preserve">Business in Action </t>
  </si>
  <si>
    <t>Temecula Chamber: Evening Mixer</t>
  </si>
  <si>
    <t>Menifee Chamber: Wake up Menifee</t>
  </si>
  <si>
    <t xml:space="preserve">Juleen Erives </t>
  </si>
  <si>
    <t>Fontana Chamber Business Networking Meeting</t>
  </si>
  <si>
    <t xml:space="preserve">Jurupa Valley Business Networking Meeting </t>
  </si>
  <si>
    <t>Juleen Erives</t>
  </si>
  <si>
    <t>Montclair Chamber Networking Breakfast</t>
  </si>
  <si>
    <t>*Speaking*</t>
  </si>
  <si>
    <t>Rialto Chamber Networking Breakfast</t>
  </si>
  <si>
    <t>Redlands Chamber Rise and Shine</t>
  </si>
  <si>
    <t>Fontana Chamber Coffee and Donuts</t>
  </si>
  <si>
    <t>Emily Paredez and Sadie Gribbon</t>
  </si>
  <si>
    <t>VIP Reception at Fogo De Chao</t>
  </si>
  <si>
    <t xml:space="preserve">Rancho Cucamonga </t>
  </si>
  <si>
    <t xml:space="preserve">Emily Paredez  </t>
  </si>
  <si>
    <t>State of the Chino Valley Fire District</t>
  </si>
  <si>
    <t>Chino</t>
  </si>
  <si>
    <t xml:space="preserve">CPP Business Challenge </t>
  </si>
  <si>
    <t xml:space="preserve">Pomona </t>
  </si>
  <si>
    <t>Jennifer Contreras</t>
  </si>
  <si>
    <t xml:space="preserve">Corona </t>
  </si>
  <si>
    <t>SGVEP Cafecito &amp; Networking</t>
  </si>
  <si>
    <t>Brea Chamber Chat</t>
  </si>
  <si>
    <t xml:space="preserve">Juleen Erives and Emily Paredez </t>
  </si>
  <si>
    <t xml:space="preserve">Eastvale Chamber After Hours Mixer </t>
  </si>
  <si>
    <t>Regional SGV Chamber: Women Leading the Way - An Impactful Luncheon Event</t>
  </si>
  <si>
    <t>CV Business at Breakfast event</t>
  </si>
  <si>
    <t xml:space="preserve">Riverside </t>
  </si>
  <si>
    <t xml:space="preserve">ABAIE </t>
  </si>
  <si>
    <t>Rialto Chamber October Networking Breakfast</t>
  </si>
  <si>
    <t>Covina Chamber Chat</t>
  </si>
  <si>
    <t>Sadie Gribbon, Emily Paredez, Juleen Erives</t>
  </si>
  <si>
    <t xml:space="preserve">OFD Open House </t>
  </si>
  <si>
    <t xml:space="preserve">Ontario </t>
  </si>
  <si>
    <t>*Speaking* West End Real Estate Professionals</t>
  </si>
  <si>
    <t>RC Chamber BCN</t>
  </si>
  <si>
    <t>*SPEAKING* Covina Sunrise Rotary Club Meeting</t>
  </si>
  <si>
    <t xml:space="preserve">Jenny, Emily, Hatsumi </t>
  </si>
  <si>
    <t xml:space="preserve">OPD Open House </t>
  </si>
  <si>
    <t>Sadie Gribbon, Juleen Erives, Kathleen Cramer</t>
  </si>
  <si>
    <t>Chamber Breakfast</t>
  </si>
  <si>
    <t xml:space="preserve">Connie and Jennifer </t>
  </si>
  <si>
    <t>San Gabriel Dumpling &amp; Beer Festival</t>
  </si>
  <si>
    <t xml:space="preserve">San Gabriel </t>
  </si>
  <si>
    <t xml:space="preserve">San Bernardino Area Chamber </t>
  </si>
  <si>
    <t>*Speaking*San Gorgonio Pass Rotary</t>
  </si>
  <si>
    <t xml:space="preserve">Banning </t>
  </si>
  <si>
    <t>Diamond Bar CEO Circle Lunch Mob</t>
  </si>
  <si>
    <t xml:space="preserve">Valley Morning Insight </t>
  </si>
  <si>
    <t>Jennifer Contreras and Juleen Erives</t>
  </si>
  <si>
    <t>Riverside County Women's Leadership Conference</t>
  </si>
  <si>
    <t>OPARC Chamber Mixer</t>
  </si>
  <si>
    <t>Placentia State of the City</t>
  </si>
  <si>
    <t>Good Morning, Brea! Chamber Breakfast</t>
  </si>
  <si>
    <t xml:space="preserve">Jennifer Contreras, Juleen Erives, Connie Royal </t>
  </si>
  <si>
    <t xml:space="preserve">SBCTA Business to Business Expo </t>
  </si>
  <si>
    <t>Juleen Erives and Sadie Gribbon</t>
  </si>
  <si>
    <t>Routes World Conference</t>
  </si>
  <si>
    <t>Hong Kong, China</t>
  </si>
  <si>
    <t xml:space="preserve">Jennifer Contreras and Isela Toledo </t>
  </si>
  <si>
    <t xml:space="preserve">ABAIE- Small Business Development Day </t>
  </si>
  <si>
    <t>Walnut Valley Kiwanis Club</t>
  </si>
  <si>
    <t>Yorba Linda Networking Luncheon</t>
  </si>
  <si>
    <t xml:space="preserve">*Speaking*Rotary club of Murrieta </t>
  </si>
  <si>
    <t xml:space="preserve">Murrieta </t>
  </si>
  <si>
    <t>I went last year and this was their second year and it was even bigger!</t>
  </si>
  <si>
    <t>Placentia Chamber/Brother's on a Quest Golf Fore a Cure Event</t>
  </si>
  <si>
    <t>Fontana Chamber Business Networking</t>
  </si>
  <si>
    <t>jennyy</t>
  </si>
  <si>
    <t xml:space="preserve">Coffee Break Meeting </t>
  </si>
  <si>
    <t>Atif spoke at this event</t>
  </si>
  <si>
    <t xml:space="preserve">ONT Baseball Event </t>
  </si>
  <si>
    <t>RC Chamber Luncheon</t>
  </si>
  <si>
    <t>North Orange County Chamber Networking Lunch</t>
  </si>
  <si>
    <t>Fullerton</t>
  </si>
  <si>
    <t>Sadie Gribbon and Juleen Erives</t>
  </si>
  <si>
    <t xml:space="preserve"> ABAIE Networking Mixer </t>
  </si>
  <si>
    <t>Chino Hills</t>
  </si>
  <si>
    <t xml:space="preserve">Temecula Valley Chamber- Valley Young Professionals Luncheon </t>
  </si>
  <si>
    <t xml:space="preserve">Riverside Chamber- Good Morning Riverside </t>
  </si>
  <si>
    <t>Jurupa Valley Business Networking Lunch</t>
  </si>
  <si>
    <t>This was the first time the Connect Up was going to be held at the IHOP and I was nervous about the turnout but it ended up being great!</t>
  </si>
  <si>
    <t>La Habra Chamber Connect Up</t>
  </si>
  <si>
    <t>Big turnout but it's open networking and walking around so I tried to get around to as many tables and people as I could!</t>
  </si>
  <si>
    <t>Chamber Day at Angels Stadium</t>
  </si>
  <si>
    <t>OC</t>
  </si>
  <si>
    <t xml:space="preserve">Jennifer Contreras and Juleen Erives </t>
  </si>
  <si>
    <t xml:space="preserve">City of Ontario CLC Con </t>
  </si>
  <si>
    <t>Huge turnout at this lunch mob; got lucky, since it was a big turnout they decided to let everyone go around and have a 30 second commercial</t>
  </si>
  <si>
    <t>Yorba Linda Lunch Mob</t>
  </si>
  <si>
    <t>Rialto Chamber September Networking Breakfast</t>
  </si>
  <si>
    <t xml:space="preserve">*Speaking* Rotary Club of Riverside Sunrise </t>
  </si>
  <si>
    <t>Met with organizers of SGVEP over coffee to discuss partnership opportunities</t>
  </si>
  <si>
    <t>San Gabriel Valley Economic Partnership - Coffee Meeting</t>
  </si>
  <si>
    <t>San Gabriel Valley</t>
  </si>
  <si>
    <t xml:space="preserve">Visit Temecula Valley Marketing Summit </t>
  </si>
  <si>
    <t>Great event, I hadn't been to this breakfast club in a while and I need to prioritize it because it's a big turnout and they allow you to have a 1 minute commercial</t>
  </si>
  <si>
    <t>Covina Chamber Breakfast Club</t>
  </si>
  <si>
    <t xml:space="preserve">Greater High Desert Chamber- Valley Morning Insight </t>
  </si>
  <si>
    <t>Victorville</t>
  </si>
  <si>
    <t>ONT Field Event</t>
  </si>
  <si>
    <t>Meet and Greet</t>
  </si>
  <si>
    <t>Emily Paredez and Juleen Erives</t>
  </si>
  <si>
    <t>CVLC Graduation Breakfast</t>
  </si>
  <si>
    <t>Chino/Chino Hills</t>
  </si>
  <si>
    <t>Anaheim Evening Mixer</t>
  </si>
  <si>
    <t xml:space="preserve">Jennifer Contreras, Hatsumi and Juleen </t>
  </si>
  <si>
    <t xml:space="preserve">*Speaking* Rotary Club of Riverside </t>
  </si>
  <si>
    <t>LA Area Chamber: Tourism, Entertainment &amp; Sports Council</t>
  </si>
  <si>
    <t>LA Area</t>
  </si>
  <si>
    <t>Yorba Linda Chamber of Commerce Networking Lunch</t>
  </si>
  <si>
    <t xml:space="preserve">*Speaking* Rotary Club of Temecula Sunrise </t>
  </si>
  <si>
    <t xml:space="preserve">Visit Temecula Valley Partner Orientation </t>
  </si>
  <si>
    <t>compliment on our marketing efforts</t>
  </si>
  <si>
    <t>*Speaking* Chino Valley Chamber</t>
  </si>
  <si>
    <t xml:space="preserve">OC County Fair </t>
  </si>
  <si>
    <t>International Student Resource Fair</t>
  </si>
  <si>
    <t>Multi Chamber Mixer</t>
  </si>
  <si>
    <t>Rancho Chamber BNC Breakfast</t>
  </si>
  <si>
    <t>Rancho</t>
  </si>
  <si>
    <t xml:space="preserve">ABAIE- Networking Mixer </t>
  </si>
  <si>
    <t xml:space="preserve">Jurupa Valley- Networking Luncheon </t>
  </si>
  <si>
    <t xml:space="preserve">Murrieta/Wildomar Chamber- August Networking Breakfast </t>
  </si>
  <si>
    <t>Leads Lunch Anaheim</t>
  </si>
  <si>
    <t>Connie Royal and Juleen Erives</t>
  </si>
  <si>
    <t>Business Over Breakfast</t>
  </si>
  <si>
    <t>Covina Sunrise Rotary Club Meeting</t>
  </si>
  <si>
    <t xml:space="preserve">Temecula Chamber- Valley Young Professionals Luncheon </t>
  </si>
  <si>
    <t>Innovate Claremont</t>
  </si>
  <si>
    <t xml:space="preserve">Greater High Desert- Valley Morning Insight </t>
  </si>
  <si>
    <t xml:space="preserve">LeTip of Orange </t>
  </si>
  <si>
    <t>La Habra Chamber 84th Annual Members' Choice Awards &amp; Installation Dinner</t>
  </si>
  <si>
    <t>Claremont Chamber New Member Mixer</t>
  </si>
  <si>
    <t xml:space="preserve">*Speaking* Greater High Desert- Coffee Break meeting </t>
  </si>
  <si>
    <t>Riverside Chamber- Afterhours Business Mixer</t>
  </si>
  <si>
    <t>Upland Chamber of Commerce Monthly Luncheon</t>
  </si>
  <si>
    <t>Emily, Steph,Sadie, Jenny, Connie, Juleen</t>
  </si>
  <si>
    <t>Go Cal Quartery Luncheon</t>
  </si>
  <si>
    <t>*Speaking* Arcadia Rotary</t>
  </si>
  <si>
    <t xml:space="preserve">Latino Network Monthly Meeting </t>
  </si>
  <si>
    <t>Yorba Linda Chamber Networking Lunch</t>
  </si>
  <si>
    <t>Asm. Michelle Rodriguez Inaugural Summer BBQ &amp; Resource Fair</t>
  </si>
  <si>
    <t>Emily paredez</t>
  </si>
  <si>
    <t>Upland Chamber of Commerce Breakfast mixer</t>
  </si>
  <si>
    <t>*Speaking* Menifee Rotary</t>
  </si>
  <si>
    <t>Eastvale Chamber of Commerce - breakfast mixer</t>
  </si>
  <si>
    <t>Jurupa Valley Chamber- After Hours Mixer</t>
  </si>
  <si>
    <t xml:space="preserve">Jennifer Contreras and Marketing Team </t>
  </si>
  <si>
    <t>City of Ontario's All States Picnic Booth Activation</t>
  </si>
  <si>
    <t xml:space="preserve">Quakes Military Appreciation Night </t>
  </si>
  <si>
    <t>Rancho cucamonga</t>
  </si>
  <si>
    <t>*Speaking* Monrovia Rotary</t>
  </si>
  <si>
    <t xml:space="preserve">Greater High Desert- Coffee Break Meeting </t>
  </si>
  <si>
    <t>Monrovia Chamber Mixer</t>
  </si>
  <si>
    <t xml:space="preserve">Corona Chamber- Member Mixer </t>
  </si>
  <si>
    <t>pomona chamber coffee connections</t>
  </si>
  <si>
    <t>Connie Royal, Sadie Gribbon</t>
  </si>
  <si>
    <t>CBA Summer Mixer - North OC Chambers, hosted by Placentia CoC</t>
  </si>
  <si>
    <t>Glendora Chamber Board Installation Dinner</t>
  </si>
  <si>
    <t>San dimas chamber Board installation breakfast</t>
  </si>
  <si>
    <t>Jennifer Contreras and Martha Perciado</t>
  </si>
  <si>
    <t>Senator Susan Rubio's Open House &amp; Resource Fair</t>
  </si>
  <si>
    <t xml:space="preserve">Riverside Chamber- Business in Action </t>
  </si>
  <si>
    <t xml:space="preserve">WRCOG General Assembly </t>
  </si>
  <si>
    <t xml:space="preserve">Murrieta/ Wildomar Chamber- Networking Breakfast </t>
  </si>
  <si>
    <t>Great event, should definitely make it a priority to do next year!</t>
  </si>
  <si>
    <t>Beauty, Bubbles, and Bites Event</t>
  </si>
  <si>
    <t>Chino state of the city</t>
  </si>
  <si>
    <t xml:space="preserve">ABAIE Networking Mixer </t>
  </si>
  <si>
    <t>*SPEAKING* Placentia Chamber Power Networking Lunch</t>
  </si>
  <si>
    <t>Covina HS Aviation &amp; Aerospace Program Ribbon Cutting Ceremony</t>
  </si>
  <si>
    <t>*Speaking* Upland chamber of commerce</t>
  </si>
  <si>
    <t>Regional Chamber of Commerce SGV - Break Bread</t>
  </si>
  <si>
    <t>Sadie Gribbon Aand Emily Paredez</t>
  </si>
  <si>
    <t>*Speaking* Career Day Lone Hill Middle School</t>
  </si>
  <si>
    <t>Connect in Covina: Where Businesses Lunch, Learn, and Link Up!</t>
  </si>
  <si>
    <t xml:space="preserve">Eastvale International Food Festival </t>
  </si>
  <si>
    <t>Corona Elementary Annual Carnival</t>
  </si>
  <si>
    <t>ABAIE- Networking Mixer</t>
  </si>
  <si>
    <t>Best of Placentia Awards - Placentia Chamber</t>
  </si>
  <si>
    <t>Jurupa Valley Chamber- Business Networking Luncheon</t>
  </si>
  <si>
    <t>Emily paredez and Sadie Gribbon</t>
  </si>
  <si>
    <t>Glendora Monthly Luncheon</t>
  </si>
  <si>
    <t>IKEA Multi Chamber Mixer</t>
  </si>
  <si>
    <t>Women Rising Leadership Academy - Brea Chamber</t>
  </si>
  <si>
    <t>Jennifer Contreras, Emily Paredez</t>
  </si>
  <si>
    <t xml:space="preserve">2025 SCAG Regional Conference and General Assembly </t>
  </si>
  <si>
    <t>Palm Desert</t>
  </si>
  <si>
    <t>Claremont TopGolf Tournament</t>
  </si>
  <si>
    <t xml:space="preserve">Emily Paredez </t>
  </si>
  <si>
    <t>*speaking* La Verne Rotary Clu</t>
  </si>
  <si>
    <t>Emily Paredez, Steph King, Sadie G</t>
  </si>
  <si>
    <t>GOCAL Quarterly Luncheon</t>
  </si>
  <si>
    <t xml:space="preserve">Riverside Chamber of Commerce- Business in Action Meeting </t>
  </si>
  <si>
    <t>*Presenting* Diamond Bar Woman's Club</t>
  </si>
  <si>
    <t>Diamond bar</t>
  </si>
  <si>
    <t>Chino Valley B@B eent</t>
  </si>
  <si>
    <t xml:space="preserve">Jurupa Valley Chamber- Business Networking Luncheon </t>
  </si>
  <si>
    <t>Hump Day Morning Mixer</t>
  </si>
  <si>
    <t>Was able to connect with a travel planner, Susan, who is going to connect me with her travel planning consortium.</t>
  </si>
  <si>
    <t>Business Over Breakfast Claremont Chamber</t>
  </si>
  <si>
    <t>Placentia Round Table Womenís Club</t>
  </si>
  <si>
    <t>CBA Mixer - North OC Chambers, hosted by Brea CoC</t>
  </si>
  <si>
    <t>Visit Anaheim Reconnect Event</t>
  </si>
  <si>
    <t>*Presenting* Claremont Sunrise Rotary</t>
  </si>
  <si>
    <t>San Dimas Coffee hour</t>
  </si>
  <si>
    <t>Upland state of the city</t>
  </si>
  <si>
    <t>Greater West Covina (GWC) Business Association Breakfast</t>
  </si>
  <si>
    <t xml:space="preserve">Addy Awards Gala </t>
  </si>
  <si>
    <t>Jennifer Contreras, Connie Royal, Emily Paredez</t>
  </si>
  <si>
    <t>SGV Economic Forecast/sponsorship engagements</t>
  </si>
  <si>
    <t>Arcadia Rise and Shine Networking Breakfast</t>
  </si>
  <si>
    <t>La Habra Chamber of Commerce Lunch &amp; Learn</t>
  </si>
  <si>
    <t>emily Paredez</t>
  </si>
  <si>
    <t xml:space="preserve">networking </t>
  </si>
  <si>
    <t>Aviation Program - Covina Valley CTE (Career and Technical Education) Showcase</t>
  </si>
  <si>
    <t>great group and donated to our USO</t>
  </si>
  <si>
    <t>Glendora soroptomist club</t>
  </si>
  <si>
    <t>Temecula Valley Chamber- Young Valley Professionals Luncheon</t>
  </si>
  <si>
    <t>Sadie Gribbon/Emily Paredez</t>
  </si>
  <si>
    <t>**sponsorship with speaking opportunity for Atif to give opening remarks and speak about ONT</t>
  </si>
  <si>
    <t>Leonard Transportation Center Leadership Policy Forum</t>
  </si>
  <si>
    <t>Murrieta /Wildomar Chamber- Networking Breakfast</t>
  </si>
  <si>
    <t>smaller crowd but an audience we are targeting</t>
  </si>
  <si>
    <t>Filipino American Chamber Tri county</t>
  </si>
  <si>
    <t xml:space="preserve">Temecula Valley Chamber- March Professional Collective </t>
  </si>
  <si>
    <t>Travelers excited about STARLUX and have utilized out of LAX and exc ited to have the option out of ONT. A lot of excitement about BX in T4.</t>
  </si>
  <si>
    <t>Greater High Desert Chamber- Coffee Break</t>
  </si>
  <si>
    <t>Upland Membership Monthly Luncheon</t>
  </si>
  <si>
    <t>Bigger crowd this time since more were back from vacation</t>
  </si>
  <si>
    <t>Upland Rotary Club</t>
  </si>
  <si>
    <t>I won for best "commercial pitch" when I played mariachi music while sharing the news that we will be servicing nonstop flights to Cabo starting in July!</t>
  </si>
  <si>
    <t>Sadie Gribbon &amp; Connie Royal</t>
  </si>
  <si>
    <t>Opened up opportunities to attend other events with International Alumni</t>
  </si>
  <si>
    <t>CGU Centennial Booth</t>
  </si>
  <si>
    <t>Sponsored event, great turnout, no sign of SNA. LBA has started a CE team to prep for LA Olympics 2028 passengers</t>
  </si>
  <si>
    <t>OCBC Annual Installation Dinner</t>
  </si>
  <si>
    <t>Claremont Lunch Mob</t>
  </si>
  <si>
    <t>upland chamber monthly luncheon</t>
  </si>
  <si>
    <t xml:space="preserve">Corona Chamber- Commerce and Cocktails </t>
  </si>
  <si>
    <t>*Speaking* Yorba Linda Chamber Networking Lunch</t>
  </si>
  <si>
    <t>San dimas chamber/ women in business connections</t>
  </si>
  <si>
    <t>Global Fed of Chinese Business Women SoCal Chapter</t>
  </si>
  <si>
    <t xml:space="preserve">Greater High Desert Chamber- Coffee Break Meeting </t>
  </si>
  <si>
    <t>Greater Ontario Business Council Vision 2025 Summit</t>
  </si>
  <si>
    <t>Always an opporutnity to speak, make sure to bring a raffle item/swag bag next time</t>
  </si>
  <si>
    <t>USC Women's Basketball Game Activation</t>
  </si>
  <si>
    <t xml:space="preserve">Chino Breakfast Mixer </t>
  </si>
  <si>
    <t xml:space="preserve">*Speaking*Beaumont Chamber of Commerce </t>
  </si>
  <si>
    <t>Beaumont</t>
  </si>
  <si>
    <t>They always offer a 1-minute commercial which is a great opp to pitch the latest ONT news</t>
  </si>
  <si>
    <t>Pomona Chamber of Commerce Coffee Connections</t>
  </si>
  <si>
    <t>La Habra Chamber of Commerce</t>
  </si>
  <si>
    <t>Emily Paredez and jennifer contreras</t>
  </si>
  <si>
    <t>Always a speaking opp at this event</t>
  </si>
  <si>
    <t>This was the 4th time the chamber has met in this format (early in the morning) and it gets bigger and bigger every month. I think we should consider sponsoring that way we can have a table there.</t>
  </si>
  <si>
    <t>Upland Monthly Chamber Luncheon</t>
  </si>
  <si>
    <t>YES to this/any signature event Anaheim puts on. A bit pricey for a lunch but Visit Anaheim, Supervisors, council members, and bigger Anaheim business owners are in the house where they typically are not for the monthly lunches and breakfasts. Ample networking time, do not reccommend being a sponsor for this event they were not highlighted well.</t>
  </si>
  <si>
    <t>Anaheim Chamber Ducks Luncheon</t>
  </si>
  <si>
    <t>Did not get the opp to speak in front of the entire group but the event does not have a long set program so there is plenty of time to network. Jennifer Root = superintendent, friends with Sadie's dad keep note. Chamber CEO wants me to come and talk about the airport, its history and focus on how businesses can bid on projects.</t>
  </si>
  <si>
    <t>Emily Paredez, Sadie Gribbon</t>
  </si>
  <si>
    <t>Advertised ONT on the fanboni ride at reign game</t>
  </si>
  <si>
    <t>Fanboni Ride at Ontario Reign</t>
  </si>
  <si>
    <t>Was able to get in front of the group for an informal pitch about what I do (re-introducing myself) and sharing information about the 5K. The Chief of the Brea Fire Department was there and I was able to pick his brain on resources for victims.</t>
  </si>
  <si>
    <t>In 2 years, the International Rotary Conference is taking place in Taipei, Taiwan. Would be a great opportunity to partner with all our local Rotary Clubs to fly out of ONT to Taiwan.</t>
  </si>
  <si>
    <t>Opportunity to speak at every event which is beneficial</t>
  </si>
  <si>
    <t xml:space="preserve">Business in action </t>
  </si>
  <si>
    <t>This was the first time I attended this group's meeting. They meet once every two months, and so the attendance is very high. I wasn't able to engage with as many people as I would have liked, but at least I know now how the format of the meeting is, so when I attend again next time I can find a way to speak to the larger group.</t>
  </si>
  <si>
    <t>La Habra Collaborative Meeting</t>
  </si>
  <si>
    <t>Consistently a small turnout and do not prioritize</t>
  </si>
  <si>
    <t>La verne Chamber mixer</t>
  </si>
  <si>
    <t>TopGolf Networking Mixer</t>
  </si>
  <si>
    <t xml:space="preserve"> </t>
  </si>
  <si>
    <t xml:space="preserve">The  hamber runs a memberhsip drive from Jan-Mar and there are typically many more attendees. Prioritize being at the breakfasts for those months. </t>
  </si>
  <si>
    <t>This is a new event for the chamber and whie it was smaller it led to more meningful conversations becuse there was less of a program and more time to network freely</t>
  </si>
  <si>
    <t>Claremont Network and Sip</t>
  </si>
  <si>
    <t>Always a great turn out</t>
  </si>
  <si>
    <t xml:space="preserve">Solid group of older folks who are affluent and travel. </t>
  </si>
  <si>
    <t>*Speaking* Claremont in Action</t>
  </si>
  <si>
    <t xml:space="preserve">Ribbon Cutting </t>
  </si>
  <si>
    <t>Global Entry Enrollment Center Ribbon Cutting</t>
  </si>
  <si>
    <t xml:space="preserve">Emily/Jenny </t>
  </si>
  <si>
    <t xml:space="preserve">Gate activation for NP </t>
  </si>
  <si>
    <t>NPA Gate Activation Inaugural Flight to Nashville</t>
  </si>
  <si>
    <t>NPA Gate Activation Inaugural Flight to Reno</t>
  </si>
  <si>
    <t xml:space="preserve">Highlight ONT's accomplishments and future </t>
  </si>
  <si>
    <t xml:space="preserve">State of the Airport </t>
  </si>
  <si>
    <t xml:space="preserve">CE Team/Lead-Emily </t>
  </si>
  <si>
    <t xml:space="preserve">Resource Fair </t>
  </si>
  <si>
    <t xml:space="preserve">Disability Flight Experience </t>
  </si>
  <si>
    <t>We were very popular at this event and almost all of our promo was gone</t>
  </si>
  <si>
    <t xml:space="preserve">Booth set up  </t>
  </si>
  <si>
    <t xml:space="preserve">Retirement Party </t>
  </si>
  <si>
    <t xml:space="preserve">Steve Marquardts Retirement Party </t>
  </si>
  <si>
    <t xml:space="preserve">3Sixty Duty Free Grand Opening </t>
  </si>
  <si>
    <t>CE Team/ Lead-Em</t>
  </si>
  <si>
    <t>Tour was rescheduled due to the tower</t>
  </si>
  <si>
    <t>Tour and guests used ONT+</t>
  </si>
  <si>
    <t>Tour of ONT Tower, Terminal 4 Roof, Museum</t>
  </si>
  <si>
    <t>Stopped at Station 10; great feedback</t>
  </si>
  <si>
    <t>Tour for IE Mayors Coalition</t>
  </si>
  <si>
    <t>IE Mayor</t>
  </si>
  <si>
    <t>Tour</t>
  </si>
  <si>
    <t>Steph/CE team</t>
  </si>
  <si>
    <t>Great turnout. Good volunteer shifts. Bring EZ up forward next year</t>
  </si>
  <si>
    <t>Booth for OC Fair</t>
  </si>
  <si>
    <t>Surprise and Delight Terminal4</t>
  </si>
  <si>
    <t>Fourth of July</t>
  </si>
  <si>
    <t>Gate activation for Volaris</t>
  </si>
  <si>
    <t>Volaris El Salvador Inaugural</t>
  </si>
  <si>
    <t xml:space="preserve">Emily </t>
  </si>
  <si>
    <t>Booth set up for WRCOG</t>
  </si>
  <si>
    <t xml:space="preserve">WRCOG </t>
  </si>
  <si>
    <t>Tour for ONT Roundtable members</t>
  </si>
  <si>
    <t>ONT Roundtable</t>
  </si>
  <si>
    <t>Northern Pacific Inaugural</t>
  </si>
  <si>
    <t>S&amp;D plus footage with Tremor</t>
  </si>
  <si>
    <t>Quakes Activation and filming</t>
  </si>
  <si>
    <t>FOT meeting and speaker</t>
  </si>
  <si>
    <t>Friends of ONT</t>
  </si>
  <si>
    <t>Job fair for ONT vendors and more</t>
  </si>
  <si>
    <t>SBC/Hagman/ONT Job Fair</t>
  </si>
  <si>
    <t>MCM for business community</t>
  </si>
  <si>
    <t>Em's cake was a hit!</t>
  </si>
  <si>
    <t>Ribbon cutting for CFA</t>
  </si>
  <si>
    <t>Chick-fil-A Grand Opening</t>
  </si>
  <si>
    <t>School was 1+ hr late</t>
  </si>
  <si>
    <t xml:space="preserve">Educational airfield tour for students </t>
  </si>
  <si>
    <t xml:space="preserve">Tour for Carnelian Elementary </t>
  </si>
  <si>
    <t xml:space="preserve">Set up table with candy and puns; good engagement </t>
  </si>
  <si>
    <t>S&amp;D passengers</t>
  </si>
  <si>
    <t xml:space="preserve">Mother's Day </t>
  </si>
  <si>
    <t>Emily</t>
  </si>
  <si>
    <t>Educational airfield tour for business CEOs</t>
  </si>
  <si>
    <t xml:space="preserve">Tour Chino Valley Leaders </t>
  </si>
  <si>
    <t>CAPA Americas Aviation Summit</t>
  </si>
  <si>
    <t>Amazing event</t>
  </si>
  <si>
    <t>Networking Dinner</t>
  </si>
  <si>
    <t>Booth looked great</t>
  </si>
  <si>
    <t>Double Tree was great</t>
  </si>
  <si>
    <t>Welcome Reception</t>
  </si>
  <si>
    <t>Lots of registered did not attend</t>
  </si>
  <si>
    <t>Gate activation for 30 mil pax on NW flight</t>
  </si>
  <si>
    <t>30 Million Passenger Celebration</t>
  </si>
  <si>
    <t>Tour for Misison Vista</t>
  </si>
  <si>
    <t xml:space="preserve">Stop at Station 10. Late at night </t>
  </si>
  <si>
    <t>Informational tour for elected official</t>
  </si>
  <si>
    <t>Tour for Congresswoman Torres' Youth Advisory Council</t>
  </si>
  <si>
    <t>Led by James and Elisa</t>
  </si>
  <si>
    <t>Tour for Mayor of Riverside and staff</t>
  </si>
  <si>
    <t>Ain/Steph/Emily</t>
  </si>
  <si>
    <t>Extra food given to CONRAC</t>
  </si>
  <si>
    <t>Celebrate ONT tenants with food truck and swag</t>
  </si>
  <si>
    <t>Tenant Appreciation Event</t>
  </si>
  <si>
    <t xml:space="preserve">Emily did a great job! Get vegan cookies </t>
  </si>
  <si>
    <t>Celebrate OIAA employees</t>
  </si>
  <si>
    <t>Employee Appreciation Lunch</t>
  </si>
  <si>
    <t>Internal event</t>
  </si>
  <si>
    <t>Ribbon cutting for employee showers</t>
  </si>
  <si>
    <t>Atif Elkadi Showers</t>
  </si>
  <si>
    <t>Dennis as guide</t>
  </si>
  <si>
    <t>Tour for Cal Poly Pomona</t>
  </si>
  <si>
    <t>Tour for River Springs Charter School</t>
  </si>
  <si>
    <t>President Wapner, City staff and OIAA leadership</t>
  </si>
  <si>
    <t>Reception for Senator Rubio as she landed at ONT</t>
  </si>
  <si>
    <t>Reception for Senator Rubio</t>
  </si>
  <si>
    <t>Tour for Rialto Unified</t>
  </si>
  <si>
    <t>Counting engagements with Top Golf employees as well</t>
  </si>
  <si>
    <t>AAAE Conference/Airport Host Event</t>
  </si>
  <si>
    <t xml:space="preserve">AAAE Social Media Summit </t>
  </si>
  <si>
    <t>Celebrate Art @ ONT program</t>
  </si>
  <si>
    <t>Artist Reception</t>
  </si>
  <si>
    <t>Cal State LA Tour</t>
  </si>
  <si>
    <t>Connie Royal / Passengers</t>
  </si>
  <si>
    <t>Definitely smaller than we expected, but very well received by the community and OIAA</t>
  </si>
  <si>
    <t>Celebrate new airline and new route</t>
  </si>
  <si>
    <t>Avelo Airlines Inaugural Flight</t>
  </si>
  <si>
    <t>Gate Activation</t>
  </si>
  <si>
    <t>Jennifer and Connie</t>
  </si>
  <si>
    <t xml:space="preserve">Event requires 3 CE specialist- 2 on tour and 1 in office. Advice- Send rejection email out asap to avid comments on FB group and let them know they have not been selected but if someone opts out they will be contacted.  </t>
  </si>
  <si>
    <t>Bringing AV Enthusiasts into ONT</t>
  </si>
  <si>
    <t xml:space="preserve">AV Geek Tour </t>
  </si>
  <si>
    <t>Break ground on the  HUB</t>
  </si>
  <si>
    <t>HUB Groundbreaking</t>
  </si>
  <si>
    <t>Bringing the Community into ONT</t>
  </si>
  <si>
    <t>3rd Annual Multi Chamber Mixer</t>
  </si>
  <si>
    <t>Small flight, but handed out swag to passengers and other passengers passing through the gate. Overall a fun and successful time.</t>
  </si>
  <si>
    <t>Frontier Sacramento Inaugural Flight</t>
  </si>
  <si>
    <t>Connie Royal / OIAA staff</t>
  </si>
  <si>
    <t>All tickets were given awayÖ some people dropped last minute, but we had some needing more, so it worked out</t>
  </si>
  <si>
    <t>OIAA staff picnic</t>
  </si>
  <si>
    <t xml:space="preserve">Celebrate one year anniversary </t>
  </si>
  <si>
    <t>Evolve Anniversary Celebration</t>
  </si>
  <si>
    <t xml:space="preserve">Conference Host </t>
  </si>
  <si>
    <t xml:space="preserve">FAB Conference + Awards Gala </t>
  </si>
  <si>
    <t xml:space="preserve">FAB Conference + Top Golf </t>
  </si>
  <si>
    <t>Nearly a full plane. Partnership ith KFRG for flash mob, Hot Chicken from Clyde's Hot Chicken, Southwest brought out their heart cart. Posts on KFRG's social media and a FB and Instagram Live and stories posted on Pepper (Host) and KFRG's accounts. Wonderful turnout, a lot of crowd excitement and community excitement.</t>
  </si>
  <si>
    <t>Southwest Inaugural to Nashville</t>
  </si>
  <si>
    <t xml:space="preserve">Check Presentation </t>
  </si>
  <si>
    <t xml:space="preserve">Rep Norma Torres Check Presentation </t>
  </si>
  <si>
    <t xml:space="preserve">Frontier Inaugural Flight to El Paso and Houston </t>
  </si>
  <si>
    <t>Host this job fair each year</t>
  </si>
  <si>
    <t xml:space="preserve">SBC Job Fair </t>
  </si>
  <si>
    <t>Celebrate Paw Squad + Volunteer Appreciation</t>
  </si>
  <si>
    <t>Paw Squad Puppaccinos</t>
  </si>
  <si>
    <t>Ribbon cutting for Mi Casa Cantina, Atif, President Wapner and Tommy G from SSP all spoke and cut a very long burrito and the ribbon. Food and promo was passed out to passengers and OIAA in attendance and the mariachi was there to perform.</t>
  </si>
  <si>
    <t>Celebrate new terminal restraurant partner</t>
  </si>
  <si>
    <t>Mi Casa Cantina Grand Opening</t>
  </si>
  <si>
    <t>MarComm Division</t>
  </si>
  <si>
    <t>Team Brand Review</t>
  </si>
  <si>
    <t>ONT Brand Summit</t>
  </si>
  <si>
    <t>Hosted a luncheon in the museum, Chet handled the program, Traveler's Aid volunteers were very appreciative.</t>
  </si>
  <si>
    <t>Celebrate TA + Volunteer Appreciation</t>
  </si>
  <si>
    <t>Traveler's Aid Volunteer Appreciation Luncheon</t>
  </si>
  <si>
    <t>Luncheon</t>
  </si>
  <si>
    <t>Connie Royal / Volaris Passengers, Volaris Staff, OIAA staff, Consulate of Mexico</t>
  </si>
  <si>
    <t>Handed out ONT Swag, Birria Tacos, Horchata and Mexican Candy to passangers. Invited Mariachi Group to play live music for passangers. Hosted a raffle with 5 prizes including Volaris voucher and bag provided by airline.</t>
  </si>
  <si>
    <t xml:space="preserve">Celebrate 10 years of service </t>
  </si>
  <si>
    <t>Volaris 10-Year Anniversary at ONT</t>
  </si>
  <si>
    <t>Handed out ONT swag to passangers and hosted a raffle with 4 prizes including Frontier voucher provided by airline.</t>
  </si>
  <si>
    <t>Celebrate new Fontier route to SLC</t>
  </si>
  <si>
    <t xml:space="preserve">Frontier Inaugural Flight to Salt Lake City </t>
  </si>
  <si>
    <t>Celebrate new Fontier route to PDX</t>
  </si>
  <si>
    <t xml:space="preserve">Frontier Inaugural Flight to Portland </t>
  </si>
  <si>
    <t xml:space="preserve">ONT Centennial Celebration </t>
  </si>
  <si>
    <t>Centennial Week- Community Partners</t>
  </si>
  <si>
    <t>Centennial Week- OFD + OPD</t>
  </si>
  <si>
    <t>Centennial Week- OIAA</t>
  </si>
  <si>
    <t>Passengers were excited and appreciative, passengers liked to hear about the history of ONT</t>
  </si>
  <si>
    <t xml:space="preserve">Centennial Week- Passengers </t>
  </si>
  <si>
    <t>Order more cookies, we didn't hit FedEx or UPS, potentially a nut free option? Staff was very appreciative of cookies, great content!</t>
  </si>
  <si>
    <t xml:space="preserve">Centennial Week- Tenants </t>
  </si>
  <si>
    <t xml:space="preserve">Well attended. Delivering food at T2 was easier than due to checks. Try to get lawn mowed next year. Request less Veggie burgers. </t>
  </si>
  <si>
    <t xml:space="preserve">Celebrate ONT Tenants </t>
  </si>
  <si>
    <t xml:space="preserve">ONT Tenant Appreciation Day </t>
  </si>
  <si>
    <t xml:space="preserve">5K at the Runway </t>
  </si>
  <si>
    <t>TOTAL</t>
  </si>
  <si>
    <t>Connie</t>
  </si>
  <si>
    <t>Orange</t>
  </si>
  <si>
    <t>N/A</t>
  </si>
  <si>
    <t>Jordie</t>
  </si>
  <si>
    <t>Jenny</t>
  </si>
  <si>
    <t>Santa Barbara</t>
  </si>
  <si>
    <t>ALL</t>
  </si>
  <si>
    <t>Murrieta/Wildomar</t>
  </si>
  <si>
    <t>Sadie</t>
  </si>
  <si>
    <t>Greater High Desert (Adelanto, Apple Valley, Hesperia, Victorville)</t>
  </si>
  <si>
    <t>Sadie/Steph</t>
  </si>
  <si>
    <t>Chino/ Chino Hills</t>
  </si>
  <si>
    <t>Lead(s)</t>
  </si>
  <si>
    <t>Total Community Booths</t>
  </si>
  <si>
    <t>Total Presentations</t>
  </si>
  <si>
    <t>Total Engagements</t>
  </si>
  <si>
    <t>Total Number of Visits</t>
  </si>
  <si>
    <t>City Name</t>
  </si>
  <si>
    <t>Support Revem</t>
  </si>
  <si>
    <t xml:space="preserve">CPP Business Challenge Airfield Tour </t>
  </si>
  <si>
    <t>Support ADA community; bring community to ONT</t>
  </si>
  <si>
    <t>Alaska Airlines Disability Flight Experience</t>
  </si>
  <si>
    <t>Bring community to ONT, discussion on DLC Pop-Up collab</t>
  </si>
  <si>
    <t>Greater West Covina (GWC) Business Association</t>
  </si>
  <si>
    <t>Collaborate with Rev'M for the 2nd annual ONTxLAFC Watch Party in an effort to assist Advertising and Partnerships</t>
  </si>
  <si>
    <t>2nd Annual ONTxLAFC Watch Party</t>
  </si>
  <si>
    <t>Celebrate 35th anniversary of the ADA</t>
  </si>
  <si>
    <t>35th Anniversary of ADA</t>
  </si>
  <si>
    <t>Emily, Sadie, Steph</t>
  </si>
  <si>
    <t>Bring community to ONT, educate the community about ONT's history, current and new routes, proximity, create engagement and excitement about the airport, track and measure where ONT can improve, receive feedback on route requests</t>
  </si>
  <si>
    <t>San Antonio Regional Hospital</t>
  </si>
  <si>
    <t>Celebrate Inaugural Flight to Leon</t>
  </si>
  <si>
    <t xml:space="preserve">Volaris Inaugural Flight to Leon </t>
  </si>
  <si>
    <t>Celebrate inaugural flight to Morelia</t>
  </si>
  <si>
    <t>Volaris Morelia (MLM) Inaugural Gate Activation</t>
  </si>
  <si>
    <t>Celebrate Inaugural flight to Los Cabos</t>
  </si>
  <si>
    <t>Volaris Inaugural Flight to Los Cabos</t>
  </si>
  <si>
    <t>Celebrate flight to BWI w/airline and passengers</t>
  </si>
  <si>
    <t>Southwest Inaugural Flight to Baltimore/Washington Int'l</t>
  </si>
  <si>
    <t>Celebrate flight to Taipei</t>
  </si>
  <si>
    <t>STARLUX Inaugural</t>
  </si>
  <si>
    <t>Supporting another department/appreciation for ATC</t>
  </si>
  <si>
    <t>ATC Appreciation Lucheon partnered with Government Rel.</t>
  </si>
  <si>
    <t>Partner w/ Sup. Hagman and host event</t>
  </si>
  <si>
    <t>San Bernardino County Job Fair and Expungement</t>
  </si>
  <si>
    <t xml:space="preserve">Celebrate Inaugural Flight to Chicago </t>
  </si>
  <si>
    <t>United Airlines Inaugural Flight to Chicago OíHare</t>
  </si>
  <si>
    <t>Celebrate Southwest Airlines' 40th anniversary at ONT</t>
  </si>
  <si>
    <t>Southwest 40th Anniversary at ONT</t>
  </si>
  <si>
    <t>See Asana project for after action notes</t>
  </si>
  <si>
    <t>ONT's 4th Annual Multi Chamber Mixer</t>
  </si>
  <si>
    <t xml:space="preserve">Appreciation Lunchon for TA Volunteers </t>
  </si>
  <si>
    <t xml:space="preserve">Travelers Aid Luncheon </t>
  </si>
  <si>
    <t>To tour our airfield, meet OFD and UPS, and educate about ONT</t>
  </si>
  <si>
    <t>Chino Valley Leadership Collaborative Airfield Tour</t>
  </si>
  <si>
    <t>ULI Breakfast Event</t>
  </si>
  <si>
    <t>Row Labels</t>
  </si>
  <si>
    <t>(blank)</t>
  </si>
  <si>
    <t>Grand Total</t>
  </si>
  <si>
    <t>Sum of Activations</t>
  </si>
  <si>
    <t>Sum of Attendance</t>
  </si>
  <si>
    <t>interactions</t>
  </si>
  <si>
    <t>% of interactions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</si>
</sst>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4"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12"/>
      <color theme="1"/>
      <name val="Montserrat"/>
    </font>
    <font>
      <b/>
      <sz val="16"/>
      <color theme="1"/>
      <name val="Montserrat"/>
    </font>
    <font>
      <u/>
      <sz val="12"/>
      <color theme="1"/>
      <name val="Montserrat"/>
    </font>
    <font>
      <b/>
      <sz val="14"/>
      <color theme="1"/>
      <name val="Montserrat"/>
    </font>
    <font>
      <b/>
      <sz val="14"/>
      <color theme="0"/>
      <name val="Montserrat"/>
    </font>
    <font>
      <sz val="12"/>
      <color rgb="FF00000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21418B"/>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rgb="FFA02B93"/>
      </left>
      <right style="thin">
        <color rgb="FFA02B93"/>
      </right>
      <top style="thin">
        <color rgb="FFA02B93"/>
      </top>
      <bottom style="thin">
        <color rgb="FFA02B93"/>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22">
    <xf numFmtId="0" fontId="0" fillId="0" borderId="0" xfId="0"/>
    <xf numFmtId="14" fontId="0" fillId="0" borderId="0" xfId="0" applyNumberFormat="1"/>
    <xf numFmtId="3" fontId="0" fillId="0" borderId="0" xfId="0" applyNumberFormat="1"/>
    <xf numFmtId="0" fontId="18" fillId="0" borderId="0" xfId="0" applyFont="1" applyAlignment="1">
      <alignment horizontal="center"/>
    </xf>
    <xf numFmtId="0" fontId="19" fillId="0" borderId="0" xfId="0" applyFont="1" applyAlignment="1">
      <alignment horizontal="center"/>
    </xf>
    <xf numFmtId="3" fontId="18" fillId="0" borderId="0" xfId="0" applyNumberFormat="1" applyFont="1" applyAlignment="1">
      <alignment horizontal="center"/>
    </xf>
    <xf numFmtId="0" fontId="18" fillId="0" borderId="0" xfId="0" applyFont="1" applyAlignment="1">
      <alignment horizontal="center" wrapText="1"/>
    </xf>
    <xf numFmtId="0" fontId="20" fillId="0" borderId="0" xfId="0" applyFont="1" applyAlignment="1">
      <alignment horizontal="center"/>
    </xf>
    <xf numFmtId="0" fontId="21" fillId="33" borderId="10" xfId="0" applyFont="1" applyFill="1" applyBorder="1" applyAlignment="1">
      <alignment horizontal="center" vertical="center"/>
    </xf>
    <xf numFmtId="16" fontId="22" fillId="0" borderId="10" xfId="0" applyNumberFormat="1" applyFont="1" applyBorder="1" applyAlignment="1">
      <alignment horizontal="center" vertical="center"/>
    </xf>
    <xf numFmtId="17" fontId="22" fillId="0" borderId="10" xfId="0" applyNumberFormat="1" applyFont="1" applyBorder="1" applyAlignment="1">
      <alignment horizontal="center" vertical="center"/>
    </xf>
    <xf numFmtId="16" fontId="22" fillId="33" borderId="10" xfId="0" applyNumberFormat="1" applyFont="1" applyFill="1" applyBorder="1" applyAlignment="1">
      <alignment horizontal="center" vertical="center"/>
    </xf>
    <xf numFmtId="17" fontId="22" fillId="33" borderId="10" xfId="0" applyNumberFormat="1" applyFont="1" applyFill="1" applyBorder="1" applyAlignment="1">
      <alignment horizontal="center" vertical="center" wrapText="1"/>
    </xf>
    <xf numFmtId="17" fontId="22" fillId="33" borderId="10" xfId="0" applyNumberFormat="1" applyFont="1" applyFill="1" applyBorder="1" applyAlignment="1">
      <alignment horizontal="center" vertical="center"/>
    </xf>
    <xf numFmtId="0" fontId="22" fillId="33" borderId="10" xfId="0" applyFont="1" applyFill="1" applyBorder="1" applyAlignment="1">
      <alignment horizontal="center" vertical="center" wrapText="1"/>
    </xf>
    <xf numFmtId="0" fontId="0" fillId="0" borderId="11" xfId="0" applyBorder="1"/>
    <xf numFmtId="0" fontId="23" fillId="0" borderId="11" xfId="0" applyFont="1" applyBorder="1"/>
    <xf numFmtId="0" fontId="23" fillId="0" borderId="0" xfId="0" applyFont="1"/>
    <xf numFmtId="164" fontId="0" fillId="0" borderId="0" xfId="42" applyNumberFormat="1" applyFont="1"/>
    <xf numFmtId="0" fontId="0" fillId="0" borderId="0" xfId="0" pivotButton="1"/>
    <xf numFmtId="0" fontId="0" fillId="0" borderId="0" xfId="0" applyAlignment="1">
      <alignment horizontal="left"/>
    </xf>
    <xf numFmtId="9" fontId="0" fillId="0" borderId="0" xfId="43" applyFon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2">
    <dxf>
      <numFmt numFmtId="164" formatCode="_(* #,##0_);_(* \(#,##0\);_(* &quot;-&quot;??_);_(@_)"/>
    </dxf>
    <dxf>
      <numFmt numFmtId="19" formatCode="m/d/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ucynda Ponce" refreshedDate="46103.706406828707" createdVersion="8" refreshedVersion="8" minRefreshableVersion="3" recordCount="1186" xr:uid="{384AB110-E131-7E4A-93F9-BB9B938B14E2}">
  <cacheSource type="worksheet">
    <worksheetSource ref="A1:J1048576" sheet="CE_Event Tracker"/>
  </cacheSource>
  <cacheFields count="10">
    <cacheField name="Type of Event" numFmtId="0">
      <sharedItems containsBlank="1" count="13">
        <s v="Booth"/>
        <s v="Business Council"/>
        <s v="Chamber"/>
        <s v="Club"/>
        <s v="Community"/>
        <s v="Conference"/>
        <s v="Gate Activation"/>
        <s v="Luncheon"/>
        <s v="Networking"/>
        <s v="Other"/>
        <s v="School"/>
        <s v="Tour"/>
        <m/>
      </sharedItems>
    </cacheField>
    <cacheField name="Name of Event" numFmtId="0">
      <sharedItems containsBlank="1"/>
    </cacheField>
    <cacheField name="Date" numFmtId="14">
      <sharedItems containsNonDate="0" containsDate="1" containsString="0" containsBlank="1" minDate="1930-04-25T00:00:00" maxDate="2026-04-14T00:00:00"/>
    </cacheField>
    <cacheField name="Purpose" numFmtId="0">
      <sharedItems containsBlank="1"/>
    </cacheField>
    <cacheField name="Activations" numFmtId="0">
      <sharedItems containsString="0" containsBlank="1" containsNumber="1" containsInteger="1" minValue="0" maxValue="8845"/>
    </cacheField>
    <cacheField name="Attendance" numFmtId="164">
      <sharedItems containsString="0" containsBlank="1" containsNumber="1" containsInteger="1" minValue="0" maxValue="75304"/>
    </cacheField>
    <cacheField name="Comments" numFmtId="0">
      <sharedItems containsBlank="1" longText="1"/>
    </cacheField>
    <cacheField name="CE Lead/ Attendees" numFmtId="0">
      <sharedItems containsBlank="1" containsMixedTypes="1" containsNumber="1" containsInteger="1" minValue="150" maxValue="150"/>
    </cacheField>
    <cacheField name="City" numFmtId="0">
      <sharedItems containsBlank="1"/>
    </cacheField>
    <cacheField name="% of activations" numFmtId="9">
      <sharedItems containsBlank="1" containsMixedTypes="1" containsNumber="1" minValue="0"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86">
  <r>
    <x v="0"/>
    <s v="OC Fair"/>
    <d v="2021-07-29T00:00:00"/>
    <s v="Booth at OC Fair"/>
    <n v="350"/>
    <n v="30000"/>
    <s v="Next year, get parking passes further in advance"/>
    <s v="Steph, Priscilla"/>
    <s v="Ontario"/>
    <n v="1.1666666666666667E-2"/>
  </r>
  <r>
    <x v="0"/>
    <s v="Ontario 5K Reindeer Run and Rudolph's Dash"/>
    <d v="2023-12-16T00:00:00"/>
    <s v="Booth "/>
    <n v="8845"/>
    <n v="3500"/>
    <m/>
    <s v="Contreras, Jennifer and Paredez Emily "/>
    <s v="Ontario"/>
    <n v="2.5271428571428571"/>
  </r>
  <r>
    <x v="0"/>
    <s v="LA County Fair "/>
    <d v="2024-05-18T00:00:00"/>
    <s v="Booth "/>
    <n v="2500"/>
    <n v="25000"/>
    <s v="So many people came up to the booth very happy to see us. There were about 6 people who were AVGeeks and said they fly out multiple times a week and will go nowhere else but ONT. The upcoming Nashville flight got a lot of people excited! There were also some people who had not flown out or only once. After giving them the flight map, they were surprised and said they will check it out."/>
    <s v="CE Team "/>
    <m/>
    <n v="0.1"/>
  </r>
  <r>
    <x v="0"/>
    <s v="USC Homecoming Game "/>
    <d v="2024-11-16T00:00:00"/>
    <s v="Booth "/>
    <n v="760"/>
    <n v="75304"/>
    <m/>
    <s v="CE Team "/>
    <s v="Los Angeles"/>
    <n v="1.0092425369170297E-2"/>
  </r>
  <r>
    <x v="0"/>
    <s v="Mobility 21"/>
    <d v="2023-09-29T00:00:00"/>
    <s v="Booth set up  "/>
    <n v="500"/>
    <n v="0"/>
    <s v="We were very popular at this event and almost all of our promo was gone"/>
    <s v="Paredez, Emily"/>
    <s v="Ontario"/>
    <e v="#DIV/0!"/>
  </r>
  <r>
    <x v="0"/>
    <s v="City of Walnut Local Business Fair"/>
    <d v="2024-10-03T00:00:00"/>
    <s v="Networking"/>
    <n v="10"/>
    <n v="40"/>
    <s v="Apparently this was the first time the city held an event like this. It wasn't very well attended, but I'm glad I still went to see and will consider for future events."/>
    <s v="Connie Royal"/>
    <s v="Walnut"/>
    <n v="0.25"/>
  </r>
  <r>
    <x v="0"/>
    <s v="ABAIE Awards and Installation Gala "/>
    <d v="2024-11-19T00:00:00"/>
    <s v="Networking"/>
    <n v="15"/>
    <n v="75"/>
    <s v="I was expecting more people at the event, not worth having the CEO speak at. "/>
    <s v="Jennifer Contreras "/>
    <s v="Ontario"/>
    <n v="0.2"/>
  </r>
  <r>
    <x v="0"/>
    <s v="ABAIE- Small Business Development Day "/>
    <d v="2025-09-23T00:00:00"/>
    <s v="Booth "/>
    <n v="100"/>
    <n v="100"/>
    <m/>
    <s v="Jennifer Contreras and Isela Toledo "/>
    <s v="Rancho Cucamonga "/>
    <n v="1"/>
  </r>
  <r>
    <x v="0"/>
    <s v="SBC/Hagman/ONT Job Fair"/>
    <d v="2023-06-15T00:00:00"/>
    <s v="Job fair for ONT vendors and more"/>
    <n v="75"/>
    <n v="150"/>
    <m/>
    <s v="Steph/Emily"/>
    <s v="Ontario"/>
    <n v="0.5"/>
  </r>
  <r>
    <x v="0"/>
    <s v="SBCTA B2B Expo"/>
    <d v="2024-10-16T00:00:00"/>
    <s v="Booth"/>
    <n v="150"/>
    <n v="200"/>
    <s v="Attendees are all part of the business community. "/>
    <s v="Sadie Gribbon, Jenny Contreras"/>
    <s v="Ontario"/>
    <n v="0.75"/>
  </r>
  <r>
    <x v="0"/>
    <s v="CGU New Student Welcome"/>
    <d v="2023-08-25T00:00:00"/>
    <s v="Set up table with promo and collateral"/>
    <n v="125"/>
    <n v="200"/>
    <s v="Almost every student was international. I thought it was a great event because we had in depth conversations with almost everyone educating them that you can get anywhere in the world from ONT and that we are an international airport which some were not aware of."/>
    <s v="Emily/Jennifer"/>
    <s v="Ontario"/>
    <n v="0.625"/>
  </r>
  <r>
    <x v="0"/>
    <s v="Job Fair"/>
    <d v="2021-09-29T00:00:00"/>
    <s v="Manage booth/assist vendors"/>
    <n v="100"/>
    <n v="200"/>
    <s v="Need to plan further in advance &amp; communicate with Missy Thomas better"/>
    <s v="Steph, Priscilla"/>
    <s v="Ontario"/>
    <n v="0.5"/>
  </r>
  <r>
    <x v="0"/>
    <s v="SBCTA 2023 Business to Business Expo"/>
    <d v="2023-11-07T00:00:00"/>
    <s v="Booth "/>
    <n v="75"/>
    <n v="200"/>
    <s v="Great event, would reccomend brushing up on procurement process before attending or taking procurement specialist next year!"/>
    <s v="Contreras, Jennifer and Paredez Emily "/>
    <s v="Ontario"/>
    <n v="0.375"/>
  </r>
  <r>
    <x v="0"/>
    <s v="Hagman's Resource Fair"/>
    <d v="2023-06-07T00:00:00"/>
    <s v="Booth"/>
    <n v="75"/>
    <n v="200"/>
    <s v="Good interactions with prize wheel"/>
    <s v="Steph/Emily"/>
    <s v="Ontario"/>
    <n v="0.375"/>
  </r>
  <r>
    <x v="0"/>
    <s v="Supervisor Hagman Open House"/>
    <d v="2024-06-05T00:00:00"/>
    <s v="Booth "/>
    <n v="230"/>
    <n v="230"/>
    <s v="Good tunrout, multiple chambers and city officials in attendance from the county (not just Chino), community members were excited we had the wheel and the swag there were not many booths with promo so we really stood out and had a lot of conversations about the summer parking promo."/>
    <s v="Sadie Gribbon and Emily Paredez"/>
    <m/>
    <n v="1"/>
  </r>
  <r>
    <x v="0"/>
    <s v="FAB Conference + Awards Gala "/>
    <d v="2024-06-26T00:00:00"/>
    <s v="Conference Host "/>
    <n v="250"/>
    <n v="250"/>
    <m/>
    <s v="CE Team "/>
    <s v="Ontario"/>
    <n v="1"/>
  </r>
  <r>
    <x v="0"/>
    <s v="FAB Conference + Top Golf "/>
    <d v="2024-06-25T00:00:00"/>
    <s v="Conference Host "/>
    <n v="250"/>
    <n v="250"/>
    <m/>
    <s v="CE Team "/>
    <s v="Ontario"/>
    <n v="1"/>
  </r>
  <r>
    <x v="0"/>
    <s v="Job Fair"/>
    <d v="2022-06-08T00:00:00"/>
    <s v="Manage booth/assist with vendors"/>
    <n v="300"/>
    <n v="300"/>
    <s v="successful job fair with 200+ applicants and 25 vendors"/>
    <s v="Steph, Priscilla"/>
    <s v="Ontario"/>
    <n v="1"/>
  </r>
  <r>
    <x v="0"/>
    <s v="OPD's 2nd Annual Community Open House"/>
    <d v="2023-10-21T00:00:00"/>
    <s v="Booth "/>
    <n v="200"/>
    <n v="300"/>
    <s v="Event booths/exhibitors were very spaced out. Lots of families in attendance."/>
    <s v="Contreras, Jennifer and Paredez Emily "/>
    <s v="Ontario"/>
    <n v="0.66666666666666663"/>
  </r>
  <r>
    <x v="0"/>
    <s v="Ontario Community Open House"/>
    <d v="2023-03-25T00:00:00"/>
    <s v="Booth"/>
    <n v="396"/>
    <n v="396"/>
    <s v="Smaller attendance than last time, but ONT was the popular booth. "/>
    <s v="Steph/Emily"/>
    <s v="Ontario"/>
    <n v="1"/>
  </r>
  <r>
    <x v="0"/>
    <s v="San Bernardino County Job Fair and Expungement"/>
    <d v="2025-05-28T00:00:00"/>
    <s v="Partner w/ Sup. Hagman and host event"/>
    <n v="420"/>
    <n v="420"/>
    <m/>
    <s v="Sadie Gribbon"/>
    <s v="Ontario"/>
    <n v="1"/>
  </r>
  <r>
    <x v="0"/>
    <s v="SBC Job Fair"/>
    <d v="2024-05-08T00:00:00"/>
    <s v="Networking "/>
    <n v="520"/>
    <n v="500"/>
    <s v="Great turnout. Several people interested in working at OIAA specifically"/>
    <s v="Paredez, Emily"/>
    <m/>
    <n v="1.04"/>
  </r>
  <r>
    <x v="0"/>
    <s v="SBC Job Fair "/>
    <d v="2024-05-08T00:00:00"/>
    <s v="Host this job fair each year"/>
    <n v="300"/>
    <n v="500"/>
    <m/>
    <s v="CE Team "/>
    <s v="Ontario"/>
    <n v="0.6"/>
  </r>
  <r>
    <x v="0"/>
    <s v="626 Night Market"/>
    <d v="2024-08-23T00:00:00"/>
    <s v="Booth"/>
    <n v="637"/>
    <n v="637"/>
    <s v="smaller turnout than expecting. Great location and easy set up. Dont need to be there early and pick Saturday because more traffic"/>
    <s v="Paredez, Emily "/>
    <s v="Arcadia"/>
    <n v="1"/>
  </r>
  <r>
    <x v="0"/>
    <s v="WRCOG General Assembly and Leadership Conference"/>
    <d v="2024-06-20T00:00:00"/>
    <s v="Booth "/>
    <n v="100"/>
    <n v="900"/>
    <s v="We were sitting in a spot that looked like it would be the registration desk which turned out to be a good thing because we were able to capture a lot of engagement. Met a lot of county leaders as well as some out of state attendees and had some great quality conversation about ONT amd the Southern Califonria region."/>
    <s v="Jennifer Contreras and Sadie Gribbon "/>
    <m/>
    <n v="0.1111111111111111"/>
  </r>
  <r>
    <x v="0"/>
    <s v="USC Basketball Game "/>
    <d v="2024-02-23T00:00:00"/>
    <s v="Booth "/>
    <n v="1000"/>
    <n v="1000"/>
    <s v="Well attended game. Interactions with game attendees are very quick since they are rushing to get to their seats. "/>
    <s v="CE Team "/>
    <m/>
    <n v="1"/>
  </r>
  <r>
    <x v="0"/>
    <s v="OC Fair"/>
    <d v="2022-08-12T00:00:00"/>
    <m/>
    <n v="1000"/>
    <n v="1000"/>
    <m/>
    <s v="Priscilla"/>
    <s v="Ontario"/>
    <n v="1"/>
  </r>
  <r>
    <x v="0"/>
    <s v="2024 OC Fair Booth Activation"/>
    <d v="2024-08-03T00:00:00"/>
    <s v="Booth"/>
    <n v="1850"/>
    <n v="1850"/>
    <s v="Next year, discuss with OC Fair having the pass to bring the van up through the parking lot so we do not have to exit out of the green gate with the general public (safety concern). Also, survey monkey was glitching so make sure that you can easily submit zip codes and have no glitch issues."/>
    <s v="CE Team"/>
    <s v="Costa Mesa"/>
    <n v="1"/>
  </r>
  <r>
    <x v="0"/>
    <s v="USC Fan Fest"/>
    <d v="2023-09-09T00:00:00"/>
    <s v="Booth set up with promo"/>
    <n v="500"/>
    <n v="2500"/>
    <s v="Attendees loved clear stadium bags. Great event to do surveys. Parking garage located far so plan ahead."/>
    <s v="CE Team  "/>
    <s v="Ontario"/>
    <n v="0.2"/>
  </r>
  <r>
    <x v="0"/>
    <s v="LA County Fair "/>
    <d v="2025-05-10T00:00:00"/>
    <s v="Booth "/>
    <n v="2934"/>
    <n v="2934"/>
    <m/>
    <s v="CE Team "/>
    <s v="Pomona"/>
    <n v="1"/>
  </r>
  <r>
    <x v="0"/>
    <s v="City of Ontario- 5k Reindeer Run and Rudolph's Dash"/>
    <d v="2024-12-14T00:00:00"/>
    <m/>
    <n v="675"/>
    <n v="3000"/>
    <s v="Great place to promote 5k!"/>
    <s v="Jennifer Contreras and Emily "/>
    <s v="Ontario"/>
    <n v="0.22500000000000001"/>
  </r>
  <r>
    <x v="0"/>
    <s v="Claremont Village Venture "/>
    <d v="2023-10-28T00:00:00"/>
    <s v="Booth "/>
    <n v="1000"/>
    <n v="4000"/>
    <s v="Well attended. Booth had a line the whole day. Next year, take more children items to event!"/>
    <s v="Contreras, Jennifer and Paredez Emily "/>
    <s v="Ontario"/>
    <n v="0.25"/>
  </r>
  <r>
    <x v="0"/>
    <s v="Lake Elsinore Mariachi Fest "/>
    <d v="2023-09-16T00:00:00"/>
    <s v="Booth set up with promo"/>
    <n v="1000"/>
    <n v="4000"/>
    <s v="Great turnout large spanish speaking audiance. Event/venue is loud so a difficult to take surveys "/>
    <s v="Contreras, Jennifer and Paredez Emily "/>
    <s v="Ontario"/>
    <n v="0.25"/>
  </r>
  <r>
    <x v="0"/>
    <s v="Apple Valley Airshow Booth"/>
    <d v="2024-10-12T00:00:00"/>
    <s v="Booth"/>
    <n v="700"/>
    <n v="5000"/>
    <s v="Extremely unorganized event hosts and will not participate moving forward"/>
    <s v="Sadie Gribbon, Connie Royal, Emily Paredez"/>
    <s v="Greater High Desert"/>
    <n v="0.14000000000000001"/>
  </r>
  <r>
    <x v="0"/>
    <s v="OC Fair"/>
    <d v="2023-07-12T00:00:00"/>
    <s v="Booth for OC Fair"/>
    <n v="1923"/>
    <n v="10000"/>
    <s v="Great turnout. Good volunteer shifts. Bring EZ up forward next year"/>
    <s v="Steph/CE team"/>
    <s v="Ontario"/>
    <n v="0.1923"/>
  </r>
  <r>
    <x v="1"/>
    <s v="San Gabriel Valley Economic Partnership - Coffee Meeting"/>
    <d v="2025-09-05T00:00:00"/>
    <s v="Networking"/>
    <n v="2"/>
    <n v="2"/>
    <s v="Met with organizers of SGVEP over coffee to discuss partnership opportunities"/>
    <s v="Connie Royal"/>
    <s v="San Gabriel Valley"/>
    <n v="1"/>
  </r>
  <r>
    <x v="1"/>
    <s v="Diamond Bar CEO Circle Lunch Mob"/>
    <d v="2025-10-02T00:00:00"/>
    <s v="Networking"/>
    <n v="12"/>
    <n v="12"/>
    <m/>
    <s v="Connie Royal"/>
    <s v="Diamond Bar"/>
    <n v="1"/>
  </r>
  <r>
    <x v="1"/>
    <s v="Global Fed of Chinese Business Women SoCal Chapter"/>
    <d v="2025-02-22T00:00:00"/>
    <s v="Networking"/>
    <n v="8"/>
    <n v="30"/>
    <m/>
    <s v="Connie Royal"/>
    <s v="San Gabriel "/>
    <n v="0.26666666666666666"/>
  </r>
  <r>
    <x v="1"/>
    <s v="Greater West Covina (GWC) Business Association Breakfast"/>
    <d v="2025-03-21T00:00:00"/>
    <s v="Networking"/>
    <n v="6"/>
    <n v="50"/>
    <m/>
    <s v="Connie Royal"/>
    <s v="West Covina"/>
    <n v="0.12"/>
  </r>
  <r>
    <x v="1"/>
    <s v="LeTip of Orange "/>
    <d v="2025-08-06T00:00:00"/>
    <s v="Networking"/>
    <n v="60"/>
    <n v="60"/>
    <m/>
    <s v="Connie Royal"/>
    <s v="Yorba Linda"/>
    <n v="1"/>
  </r>
  <r>
    <x v="1"/>
    <s v="OCBC Economic Forecast"/>
    <d v="2024-10-24T00:00:00"/>
    <s v="Networking "/>
    <n v="10"/>
    <n v="300"/>
    <s v="Big Four, some time for networking during registartion but otherwise a sit down formal event where networking at the table is primary source of convo. No sign o john Wayne in person or via sponsorship."/>
    <s v="Sadie Gribbon"/>
    <s v="Anaheim"/>
    <n v="3.3333333333333333E-2"/>
  </r>
  <r>
    <x v="1"/>
    <s v="OCBC Annual Installation Dinner"/>
    <d v="2025-02-27T00:00:00"/>
    <s v="Networking "/>
    <n v="18"/>
    <n v="700"/>
    <s v="Sponsored event, great turnout, no sign of SNA. LBA has started a CE team to prep for LA Olympics 2028 passengers"/>
    <s v="Sadie Gribbon"/>
    <s v="Anaheim"/>
    <n v="2.5714285714285714E-2"/>
  </r>
  <r>
    <x v="2"/>
    <s v="Claremont Village Venture "/>
    <d v="2025-10-25T00:00:00"/>
    <s v="Booth "/>
    <n v="2206"/>
    <n v="0"/>
    <m/>
    <s v="CE Team "/>
    <s v="Claremont"/>
    <e v="#DIV/0!"/>
  </r>
  <r>
    <x v="2"/>
    <s v="Chino Valley Womens Conference"/>
    <d v="2023-08-10T00:00:00"/>
    <s v="Booth set up with promo"/>
    <n v="100"/>
    <n v="0"/>
    <s v="This is a rough estimate of activations. It appears this one got deleted"/>
    <s v="Paredez, Emily "/>
    <s v="Ontario"/>
    <e v="#DIV/0!"/>
  </r>
  <r>
    <x v="2"/>
    <s v="Arcadia Chamber of Commerce Mixer"/>
    <d v="2023-10-26T00:00:00"/>
    <s v="Networking "/>
    <n v="50"/>
    <n v="0"/>
    <s v=" Very well attended event for a mixer. This chamber does a good job at creating networking opportunities. "/>
    <s v="Paredez, Emily "/>
    <s v="Ontario"/>
    <e v="#DIV/0!"/>
  </r>
  <r>
    <x v="2"/>
    <s v="Good Morning Riverside"/>
    <d v="2022-08-11T00:00:00"/>
    <m/>
    <n v="45"/>
    <n v="0"/>
    <m/>
    <s v="Priscilla"/>
    <s v="Ontario"/>
    <e v="#DIV/0!"/>
  </r>
  <r>
    <x v="2"/>
    <s v="Lake Elsinore Morning Mixer"/>
    <d v="2022-02-09T00:00:00"/>
    <s v="Network"/>
    <n v="45"/>
    <n v="0"/>
    <m/>
    <s v="Priscilla"/>
    <s v="Ontario"/>
    <e v="#DIV/0!"/>
  </r>
  <r>
    <x v="2"/>
    <s v="Good Morning Corona"/>
    <d v="2022-01-28T00:00:00"/>
    <s v="Network"/>
    <n v="45"/>
    <n v="30"/>
    <m/>
    <s v="Priscilla"/>
    <s v="Ontario"/>
    <n v="1.5"/>
  </r>
  <r>
    <x v="2"/>
    <s v="Yorba Linda Lunch Mixer"/>
    <d v="2022-08-09T00:00:00"/>
    <m/>
    <n v="40"/>
    <n v="0"/>
    <m/>
    <s v="Priscilla"/>
    <s v="Ontario"/>
    <e v="#DIV/0!"/>
  </r>
  <r>
    <x v="2"/>
    <s v="Eastvale Chamber"/>
    <d v="2022-07-07T00:00:00"/>
    <s v="Present/Network"/>
    <n v="35"/>
    <n v="0"/>
    <m/>
    <s v="Priscilla"/>
    <s v="Ontario"/>
    <e v="#DIV/0!"/>
  </r>
  <r>
    <x v="2"/>
    <s v="NOC Chamber Networking Lunch`"/>
    <d v="2022-02-15T00:00:00"/>
    <m/>
    <n v="35"/>
    <n v="0"/>
    <m/>
    <s v="Priscilla"/>
    <s v="Ontario"/>
    <e v="#DIV/0!"/>
  </r>
  <r>
    <x v="2"/>
    <s v="Fontana Chamber Luncheon"/>
    <d v="2022-02-10T00:00:00"/>
    <m/>
    <n v="35"/>
    <n v="0"/>
    <m/>
    <s v="Priscilla"/>
    <s v="Ontario"/>
    <e v="#DIV/0!"/>
  </r>
  <r>
    <x v="2"/>
    <s v="Eastvale Breakfast"/>
    <d v="2022-08-04T00:00:00"/>
    <m/>
    <n v="30"/>
    <n v="0"/>
    <m/>
    <s v="Priscilla"/>
    <s v="Ontario"/>
    <e v="#DIV/0!"/>
  </r>
  <r>
    <x v="2"/>
    <s v="Redlands Rise &amp; Shine"/>
    <d v="2022-07-01T00:00:00"/>
    <s v="Network"/>
    <n v="30"/>
    <n v="0"/>
    <m/>
    <s v="Priscilla"/>
    <s v="Ontario"/>
    <e v="#DIV/0!"/>
  </r>
  <r>
    <x v="2"/>
    <s v="Lead Lunch-Brea"/>
    <d v="2022-06-22T00:00:00"/>
    <s v="Network"/>
    <n v="30"/>
    <n v="0"/>
    <m/>
    <s v="Priscilla"/>
    <s v="Ontario"/>
    <e v="#DIV/0!"/>
  </r>
  <r>
    <x v="2"/>
    <s v="Redlands State of the City"/>
    <d v="2022-07-29T00:00:00"/>
    <m/>
    <n v="25"/>
    <n v="0"/>
    <m/>
    <s v="Priscilla"/>
    <s v="Ontario"/>
    <e v="#DIV/0!"/>
  </r>
  <r>
    <x v="2"/>
    <s v="Eastvale Chamber Roundtable"/>
    <d v="2022-04-26T00:00:00"/>
    <m/>
    <n v="25"/>
    <n v="0"/>
    <m/>
    <s v="Priscilla"/>
    <s v="Ontario"/>
    <e v="#DIV/0!"/>
  </r>
  <r>
    <x v="2"/>
    <s v="Norco Chamber Mixer"/>
    <d v="2024-10-31T00:00:00"/>
    <s v="Networking"/>
    <n v="20"/>
    <n v="0"/>
    <m/>
    <m/>
    <s v="Norco"/>
    <e v="#DIV/0!"/>
  </r>
  <r>
    <x v="2"/>
    <s v="Murrieta /Wildomar Chamber- Coffee with the City of Murrieta "/>
    <d v="2024-10-22T00:00:00"/>
    <s v="Networking "/>
    <n v="15"/>
    <n v="0"/>
    <m/>
    <s v="Jennifer Contreras "/>
    <s v="Murrieta"/>
    <e v="#DIV/0!"/>
  </r>
  <r>
    <x v="2"/>
    <s v="Chino Valley Chamber B@B"/>
    <d v="2023-07-07T00:00:00"/>
    <s v="Networking "/>
    <n v="0"/>
    <n v="0"/>
    <s v="Went to the event location and no one was there. There was no notice of a cancellation and there was only one room it could have been held in. "/>
    <s v="Paredez, Emily "/>
    <s v="Ontario"/>
    <e v="#DIV/0!"/>
  </r>
  <r>
    <x v="2"/>
    <s v="Pomona Coffee Connections"/>
    <d v="2023-03-31T00:00:00"/>
    <s v="Networking"/>
    <n v="0"/>
    <n v="0"/>
    <s v="This event must have been canceled or not advertised as virtual. I showed up and no one was there. Another guest showed up to the address on the flyer as well."/>
    <s v="Paredez, Emily "/>
    <s v="Ontario"/>
    <e v="#DIV/0!"/>
  </r>
  <r>
    <x v="2"/>
    <s v="LA Chamber Webinar"/>
    <d v="2024-08-20T00:00:00"/>
    <s v="Networking "/>
    <n v="0"/>
    <n v="0"/>
    <s v="Not worth attending for networking. This was just a presentation with no networking and no knowledge of who else was part of the webinar."/>
    <s v="Jordie Annen"/>
    <s v="Online"/>
    <e v="#DIV/0!"/>
  </r>
  <r>
    <x v="2"/>
    <s v="Upland Toastmasters"/>
    <d v="2023-08-21T00:00:00"/>
    <s v="Networking "/>
    <n v="0"/>
    <n v="0"/>
    <s v="Only documenting this one because they do not offer Zoom and it is not mentioned on their website. Also located in a different room. "/>
    <s v="Paredez, Emily "/>
    <s v="Ontario"/>
    <e v="#DIV/0!"/>
  </r>
  <r>
    <x v="2"/>
    <s v="Greater High Desert Chamber: Coffee Break "/>
    <d v="2025-11-21T00:00:00"/>
    <s v="Networking"/>
    <n v="0"/>
    <n v="0"/>
    <m/>
    <m/>
    <s v="High Desert "/>
    <e v="#DIV/0!"/>
  </r>
  <r>
    <x v="2"/>
    <s v="Business in Action "/>
    <d v="2025-11-20T00:00:00"/>
    <s v="Networking "/>
    <n v="0"/>
    <n v="0"/>
    <m/>
    <m/>
    <s v="Riverside"/>
    <e v="#DIV/0!"/>
  </r>
  <r>
    <x v="2"/>
    <s v="Temecula Chamber: Evening Mixer"/>
    <d v="2025-11-19T00:00:00"/>
    <s v="Networking"/>
    <n v="0"/>
    <n v="0"/>
    <m/>
    <m/>
    <s v="Temecula "/>
    <e v="#DIV/0!"/>
  </r>
  <r>
    <x v="2"/>
    <s v="Menifee Chamber: Wake up Menifee"/>
    <d v="2025-11-18T00:00:00"/>
    <s v="Networking"/>
    <n v="0"/>
    <n v="0"/>
    <m/>
    <m/>
    <s v="Menifee"/>
    <e v="#DIV/0!"/>
  </r>
  <r>
    <x v="2"/>
    <s v="Fontana Chamber Business Networking Meeting"/>
    <d v="2025-11-14T00:00:00"/>
    <s v="Networking"/>
    <n v="0"/>
    <n v="0"/>
    <m/>
    <s v="Juleen Erives "/>
    <s v="Fontana"/>
    <e v="#DIV/0!"/>
  </r>
  <r>
    <x v="2"/>
    <s v="Montclair Chamber Networking Breakfast"/>
    <d v="2025-11-13T00:00:00"/>
    <s v="Networking"/>
    <n v="0"/>
    <n v="0"/>
    <m/>
    <s v="Juleen Erives"/>
    <s v="Montclair"/>
    <e v="#DIV/0!"/>
  </r>
  <r>
    <x v="2"/>
    <s v="Lake Elsinore Hump Day Breakfast"/>
    <d v="2024-09-11T00:00:00"/>
    <s v="Networking "/>
    <n v="0"/>
    <n v="0"/>
    <s v="CANCELED DUE TO FIRE"/>
    <s v="Sadie Gribbon"/>
    <m/>
    <e v="#DIV/0!"/>
  </r>
  <r>
    <x v="2"/>
    <s v="Arcadia State of the City"/>
    <d v="2024-06-13T00:00:00"/>
    <s v="Networking "/>
    <n v="0"/>
    <n v="0"/>
    <s v="This was a far less formal SOTC than I have been to for other events. It was a cocktail and small bites event which allowed for more mingling than typical. Would reccommend going next year, No sponsorship opportunities were available this year, check in with Karen MacNair about sponsoring opps next year."/>
    <s v="Sadie Gribbon"/>
    <m/>
    <e v="#DIV/0!"/>
  </r>
  <r>
    <x v="2"/>
    <s v="Chino Valley Leadership Collaborative"/>
    <d v="2024-04-05T00:00:00"/>
    <s v="Networking "/>
    <n v="0"/>
    <n v="0"/>
    <m/>
    <s v="Paredez, Emily "/>
    <m/>
    <e v="#DIV/0!"/>
  </r>
  <r>
    <x v="2"/>
    <s v="Lake Elsinore Munch N Learn"/>
    <d v="2024-04-03T00:00:00"/>
    <s v="Networking"/>
    <n v="0"/>
    <n v="0"/>
    <m/>
    <s v="Sadie Gribbon "/>
    <m/>
    <e v="#DIV/0!"/>
  </r>
  <r>
    <x v="2"/>
    <s v="Chino Valley Leadership Collaborative"/>
    <d v="2024-03-01T00:00:00"/>
    <s v="Networking "/>
    <n v="0"/>
    <n v="0"/>
    <m/>
    <s v="Paredez, Emily "/>
    <m/>
    <e v="#DIV/0!"/>
  </r>
  <r>
    <x v="2"/>
    <s v="Chino Valley Leadership Collaborative"/>
    <d v="2024-02-15T00:00:00"/>
    <s v=" Networking"/>
    <n v="0"/>
    <n v="0"/>
    <m/>
    <s v="Paredez, Emily"/>
    <m/>
    <e v="#DIV/0!"/>
  </r>
  <r>
    <x v="2"/>
    <s v="Murrieta/Wildomar Chamber Networking Breakfast "/>
    <d v="2023-12-14T00:00:00"/>
    <s v="Networking "/>
    <n v="0"/>
    <n v="0"/>
    <m/>
    <s v="Contreras, Jennifer "/>
    <s v="Ontario"/>
    <e v="#DIV/0!"/>
  </r>
  <r>
    <x v="2"/>
    <s v="Rancho Chamber End of Year Mixer"/>
    <d v="2023-12-14T00:00:00"/>
    <s v="Networking "/>
    <n v="0"/>
    <n v="0"/>
    <m/>
    <s v="Steph"/>
    <s v="Ontario"/>
    <e v="#DIV/0!"/>
  </r>
  <r>
    <x v="2"/>
    <s v="Wake up Menifee"/>
    <d v="2023-12-12T00:00:00"/>
    <s v="Networking "/>
    <n v="0"/>
    <n v="0"/>
    <m/>
    <s v="Contreras, Jennifer "/>
    <s v="Ontario"/>
    <e v="#DIV/0!"/>
  </r>
  <r>
    <x v="2"/>
    <s v="EDC Board Presentation"/>
    <d v="2023-12-07T00:00:00"/>
    <s v="Presenting"/>
    <n v="0"/>
    <n v="0"/>
    <m/>
    <s v="Contreras, Jennifer "/>
    <s v="Ontario"/>
    <e v="#DIV/0!"/>
  </r>
  <r>
    <x v="2"/>
    <s v="Lake Elsinore Chamber Humpday Morning Mixer "/>
    <d v="2023-12-06T00:00:00"/>
    <s v="Networking "/>
    <n v="0"/>
    <n v="0"/>
    <m/>
    <s v="Contreras, Jennifer "/>
    <s v="Ontario"/>
    <e v="#DIV/0!"/>
  </r>
  <r>
    <x v="2"/>
    <s v="Murrieta/Wildomar Chamber Economic Outlook "/>
    <d v="2023-12-05T00:00:00"/>
    <s v="Networking "/>
    <n v="0"/>
    <n v="0"/>
    <m/>
    <s v="Contreras, Jennifer "/>
    <s v="Ontario"/>
    <e v="#DIV/0!"/>
  </r>
  <r>
    <x v="2"/>
    <s v="Redlands Chamber Rise and Shine "/>
    <d v="2023-12-01T00:00:00"/>
    <s v="Networking "/>
    <n v="0"/>
    <n v="0"/>
    <m/>
    <s v="Contreras, Jennifer "/>
    <s v="Ontario"/>
    <e v="#DIV/0!"/>
  </r>
  <r>
    <x v="2"/>
    <s v="B@B Chino Valley Chamber "/>
    <d v="2023-07-12T00:00:00"/>
    <s v="Networking "/>
    <n v="0"/>
    <n v="0"/>
    <s v="Realized I forgot to track this one so not sure how many people I activated"/>
    <s v="Paredez, Emily "/>
    <s v="Ontario"/>
    <e v="#DIV/0!"/>
  </r>
  <r>
    <x v="2"/>
    <s v="Brea Chamber Chat"/>
    <d v="2025-10-17T00:00:00"/>
    <s v="Networking"/>
    <n v="1"/>
    <n v="1"/>
    <m/>
    <s v="Connie Royal"/>
    <s v="Brea"/>
    <n v="1"/>
  </r>
  <r>
    <x v="2"/>
    <s v="Covina Chamber Chat"/>
    <d v="2025-10-14T00:00:00"/>
    <s v="Networking"/>
    <n v="1"/>
    <n v="1"/>
    <m/>
    <s v="Connie Royal"/>
    <s v="Covina"/>
    <n v="1"/>
  </r>
  <r>
    <x v="2"/>
    <s v="Meeting with Monique CEO "/>
    <d v="2024-10-23T00:00:00"/>
    <s v="Networking "/>
    <n v="1"/>
    <n v="1"/>
    <m/>
    <s v="Paredez, Emily "/>
    <s v="Pomona"/>
    <n v="1"/>
  </r>
  <r>
    <x v="2"/>
    <s v="Claremont Chamber "/>
    <d v="2023-09-05T00:00:00"/>
    <s v="Networking "/>
    <n v="10"/>
    <n v="2"/>
    <s v="Went to a toastmasters event and I do not recommend attending again. It was a beginner's course and spent most of the time advertising and no teaching."/>
    <s v="Paredez, Emily "/>
    <s v="Ontario"/>
    <n v="5"/>
  </r>
  <r>
    <x v="2"/>
    <s v="Fontana Chamber of Commerce"/>
    <d v="2023-06-16T00:00:00"/>
    <s v="Networking "/>
    <n v="10"/>
    <n v="3"/>
    <s v="Small crowd and presentation went way over and limited networking  time. It was the same crowd as last time. "/>
    <s v="Paredez, Emily "/>
    <s v="Ontario"/>
    <n v="3.3333333333333335"/>
  </r>
  <r>
    <x v="2"/>
    <s v="Rancho Cucamonga Installation"/>
    <d v="2023-07-07T00:00:00"/>
    <s v="Networking "/>
    <n v="100"/>
    <n v="5"/>
    <s v="Attended this event with Steph who is now serving on the executive board of the chamber. "/>
    <s v="Steph/Emily "/>
    <s v="Ontario"/>
    <n v="20"/>
  </r>
  <r>
    <x v="2"/>
    <s v="Good Morning Riverside Chamber "/>
    <d v="2023-05-11T00:00:00"/>
    <s v="Networking "/>
    <n v="70"/>
    <n v="5"/>
    <s v="Event is based around the program, but the city has alot of development happening "/>
    <s v="Paredez, Emily "/>
    <s v="Ontario"/>
    <n v="14"/>
  </r>
  <r>
    <x v="2"/>
    <s v="La verne Chamber mixer"/>
    <d v="2025-01-15T00:00:00"/>
    <s v="Networking "/>
    <n v="5"/>
    <n v="5"/>
    <s v="Consistently a small turnout and do not prioritize"/>
    <s v="Emily paredez"/>
    <s v="La Verne"/>
    <n v="1"/>
  </r>
  <r>
    <x v="2"/>
    <s v="Upland Chamber of Commerce Event"/>
    <d v="2024-10-17T00:00:00"/>
    <s v="Networking "/>
    <n v="5"/>
    <n v="5"/>
    <s v="Smaller turnout but loved the location"/>
    <s v="Paredez, Emily "/>
    <s v="Upland"/>
    <n v="1"/>
  </r>
  <r>
    <x v="2"/>
    <s v="Lake Elsinore Young Professionals Luncheon"/>
    <d v="2024-05-09T00:00:00"/>
    <s v="Networking "/>
    <n v="5"/>
    <n v="5"/>
    <s v="This one was a bust, the speaker for the event did not show up so it was only of us talking amongst eachother for about 45 minutes. Do not reccommend going again anytime soon(or until Matt Dobbler or Kim Cousins is hosting it). I will say that I had great quality conversations about the airports and was able to teach the 5 people who were there a lot about it!"/>
    <s v="Sadie Gribbon "/>
    <m/>
    <n v="1"/>
  </r>
  <r>
    <x v="2"/>
    <s v="Rialto's Breakfast with the Chamber "/>
    <d v="2023-11-14T00:00:00"/>
    <s v="Networking "/>
    <n v="5"/>
    <n v="5"/>
    <s v="Chamber events are not well attended. "/>
    <s v="Contreras, Jennifer "/>
    <s v="Ontario"/>
    <n v="1"/>
  </r>
  <r>
    <x v="2"/>
    <s v="Rialto Chamber of Commerce Lunchtime Social "/>
    <d v="2023-10-24T00:00:00"/>
    <s v="Networking "/>
    <n v="5"/>
    <n v="5"/>
    <s v="Not well attended. Chamber is in process of restructuring itself. "/>
    <s v="Contreras, Jennifer "/>
    <s v="Ontario"/>
    <n v="1"/>
  </r>
  <r>
    <x v="2"/>
    <s v="Fontana Chamber of Commerce Networking Meeting"/>
    <d v="2023-12-15T00:00:00"/>
    <s v="Networking "/>
    <n v="20"/>
    <n v="6"/>
    <s v="Small turnout and the program was fun but not much time to network with everyone in the room which is the purpose of the meeting. "/>
    <s v="Paredez, Emily "/>
    <s v="Ontario"/>
    <n v="3.3333333333333335"/>
  </r>
  <r>
    <x v="2"/>
    <s v="Regional Chamber of Commerce SGV - Break Bread"/>
    <d v="2025-05-21T00:00:00"/>
    <s v="Networking"/>
    <n v="6"/>
    <n v="6"/>
    <m/>
    <s v="Connie Royal"/>
    <s v="Diamond Bar"/>
    <n v="1"/>
  </r>
  <r>
    <x v="2"/>
    <s v="La Verne Chamber"/>
    <d v="2024-12-18T00:00:00"/>
    <s v="Networking "/>
    <n v="6"/>
    <n v="6"/>
    <s v="This chamber is struggling now. Appears they are lacking leadership and people to attend their events "/>
    <s v="Paredez, Emily "/>
    <s v="La Verne"/>
    <n v="1"/>
  </r>
  <r>
    <x v="2"/>
    <s v="Placentia Chamber Lunch Mob"/>
    <d v="2024-06-05T00:00:00"/>
    <s v="Networking"/>
    <n v="6"/>
    <n v="6"/>
    <s v="This was my first Lunch Mob for this Chamber and apparently they are normally this small. Pro - you really get to have genuine 1:1 convos with people. Con - not too much networking, but definitely met some great people."/>
    <s v="Connie Royal"/>
    <m/>
    <n v="1"/>
  </r>
  <r>
    <x v="2"/>
    <s v="Upland Chamber of Commerce - Pop up event"/>
    <d v="2024-09-24T00:00:00"/>
    <s v="Networking "/>
    <n v="3"/>
    <n v="6"/>
    <s v="Not a good event. There was no one there. Do not recommend"/>
    <s v="Paredez, Emily "/>
    <s v="Upland"/>
    <n v="0.5"/>
  </r>
  <r>
    <x v="2"/>
    <s v="Rialto Chamber of Commerce Breakfast Social "/>
    <d v="2024-10-10T00:00:00"/>
    <s v="Networking "/>
    <n v="7"/>
    <n v="7"/>
    <s v="Very small crowd, but attendees said it's normally well attended"/>
    <s v="Contreras, Jennifer "/>
    <s v="Ontario"/>
    <n v="1"/>
  </r>
  <r>
    <x v="2"/>
    <s v="Filipino American Chamber of Commerce Mixer in West Co."/>
    <d v="2023-10-25T00:00:00"/>
    <s v="Networking "/>
    <n v="10"/>
    <n v="8"/>
    <s v="Not a well attended event. I would not prioritize these events moving forward. However, did make one solid connection for a future booth opportunity."/>
    <s v="Paredez,  Emily"/>
    <s v="Ontario"/>
    <n v="1.25"/>
  </r>
  <r>
    <x v="2"/>
    <s v="Wake Up Moreno Valley"/>
    <d v="2025-10-22T00:00:00"/>
    <s v="Networking"/>
    <n v="8"/>
    <n v="8"/>
    <m/>
    <s v="Juleen Erives"/>
    <s v="Moreno Valley"/>
    <n v="1"/>
  </r>
  <r>
    <x v="2"/>
    <s v="Chino Valley Chamber Mixer"/>
    <d v="2025-01-23T00:00:00"/>
    <s v="Networking "/>
    <n v="8"/>
    <n v="8"/>
    <m/>
    <s v="Emily Paredez "/>
    <s v="Chino Valley"/>
    <n v="1"/>
  </r>
  <r>
    <x v="2"/>
    <s v="Rialto Chamber Breakfast"/>
    <d v="2024-10-08T00:00:00"/>
    <s v="Networking "/>
    <n v="8"/>
    <n v="8"/>
    <s v="Rialto is now having an event every month"/>
    <m/>
    <s v="Rialto"/>
    <n v="1"/>
  </r>
  <r>
    <x v="2"/>
    <s v="Placentia Chamber Lunch Mob"/>
    <d v="2024-12-04T00:00:00"/>
    <s v="Networking"/>
    <n v="5"/>
    <n v="8"/>
    <m/>
    <s v="Connie Royal"/>
    <s v="Placentia"/>
    <n v="0.625"/>
  </r>
  <r>
    <x v="2"/>
    <s v="Chino Valley Chamber - Chino Commercial Bank Mixer"/>
    <d v="2024-01-25T00:00:00"/>
    <s v="Networking"/>
    <n v="30"/>
    <n v="10"/>
    <s v="Great turnout and will prioritize this event next year"/>
    <s v="Paredez, Emily "/>
    <m/>
    <n v="3"/>
  </r>
  <r>
    <x v="2"/>
    <s v="La Verne Chamber Mixer"/>
    <d v="2024-02-21T00:00:00"/>
    <s v="Networking "/>
    <n v="20"/>
    <n v="10"/>
    <s v="Great connections at this event and learned alot about the city"/>
    <s v="Paredez, Emily "/>
    <m/>
    <n v="2"/>
  </r>
  <r>
    <x v="2"/>
    <s v="Pomona Chamber of Commerce"/>
    <d v="2023-08-24T00:00:00"/>
    <s v="Networking"/>
    <n v="20"/>
    <n v="10"/>
    <s v="Not a very well attended event. There were several community events going on around the event so I think this impacted their attendance."/>
    <s v="Paredez, Emily "/>
    <s v="Ontario"/>
    <n v="2"/>
  </r>
  <r>
    <x v="2"/>
    <s v="Covina Chamber of Commerce "/>
    <d v="2023-07-26T00:00:00"/>
    <s v="Networking "/>
    <n v="20"/>
    <n v="10"/>
    <s v="First time at this chamber and had a decent turn out for the lunch period. Great connections for future opportunities to partner in this targeted area"/>
    <s v="Paredez, Emily "/>
    <s v="Ontario"/>
    <n v="2"/>
  </r>
  <r>
    <x v="2"/>
    <s v="Corona Chamber- Good Morning Corona "/>
    <d v="2025-04-23T00:00:00"/>
    <s v="Networking "/>
    <n v="15"/>
    <n v="10"/>
    <m/>
    <s v="Jennifer Contreras"/>
    <s v="Corona"/>
    <n v="1.5"/>
  </r>
  <r>
    <x v="2"/>
    <s v="Upland state of the city"/>
    <d v="2025-03-25T00:00:00"/>
    <s v="Networking "/>
    <n v="10"/>
    <n v="10"/>
    <m/>
    <s v="Emily Paredez"/>
    <s v="Upland"/>
    <n v="1"/>
  </r>
  <r>
    <x v="2"/>
    <s v="Aviation Program - Covina Valley CTE (Career and Technical Education) Showcase"/>
    <d v="2025-03-18T00:00:00"/>
    <s v="Networking"/>
    <n v="10"/>
    <n v="10"/>
    <m/>
    <s v="Connie Royal"/>
    <s v="Covina"/>
    <n v="1"/>
  </r>
  <r>
    <x v="2"/>
    <s v="Filipino American Chamber Tri county"/>
    <d v="2025-03-13T00:00:00"/>
    <s v="Networking "/>
    <n v="10"/>
    <n v="10"/>
    <s v="smaller crowd but an audience we are targeting"/>
    <s v="Emily Paredez"/>
    <s v="Rancho cucamonga"/>
    <n v="1"/>
  </r>
  <r>
    <x v="2"/>
    <s v="Claremont Lunch Mob"/>
    <d v="2025-02-27T00:00:00"/>
    <s v="Networking "/>
    <n v="10"/>
    <n v="10"/>
    <m/>
    <s v="Sadie Gribbon"/>
    <s v="Claremont"/>
    <n v="1"/>
  </r>
  <r>
    <x v="2"/>
    <s v="Wake Up Moreno Valley"/>
    <d v="2024-11-20T00:00:00"/>
    <s v="Networking"/>
    <n v="10"/>
    <n v="10"/>
    <m/>
    <s v="Sadie Gribbon"/>
    <s v="Moreno Valley"/>
    <n v="1"/>
  </r>
  <r>
    <x v="2"/>
    <s v="Upland Chamber Monthly Luncheon"/>
    <d v="2024-10-24T00:00:00"/>
    <s v="Networking"/>
    <n v="10"/>
    <n v="10"/>
    <s v="heard great updates from the city and did not have speaking time this time"/>
    <s v="Paredez, Emily "/>
    <s v="Upland"/>
    <n v="1"/>
  </r>
  <r>
    <x v="2"/>
    <s v="San Dimas Chamber Coffee Hour"/>
    <d v="2024-10-08T00:00:00"/>
    <s v="Networking "/>
    <n v="10"/>
    <n v="10"/>
    <s v="Small turnout but like that this chamber has frequent networking events"/>
    <s v="Paredez, Emily "/>
    <s v="San Dimas"/>
    <n v="1"/>
  </r>
  <r>
    <x v="2"/>
    <s v="San Dimas Chamber Monthly Breakfast "/>
    <d v="2024-09-25T00:00:00"/>
    <s v="Netowrking"/>
    <n v="10"/>
    <n v="10"/>
    <s v="Small turnout but great speaker from Mt Sac"/>
    <s v="Paredez, Emily "/>
    <s v="San Dimas"/>
    <n v="1"/>
  </r>
  <r>
    <x v="2"/>
    <s v="*Speaking* Brea Chamber Networking @ Noon"/>
    <d v="2024-05-22T00:00:00"/>
    <s v="Presenting"/>
    <n v="10"/>
    <n v="10"/>
    <s v="Very small chamber and apparently this is the normal attendance for meetings - which is unfortunate IMO because the surrounding cities (ie. Yorba Linda and Placentia) are very well attended. This chamber plans on moving to their meetings to a breakfast with the hopes more people will attend. My speaking engagement was received well and they were grateful to have me there."/>
    <s v="Connie Royal"/>
    <m/>
    <n v="1"/>
  </r>
  <r>
    <x v="2"/>
    <s v="Pomona Chamber Coffee Connections"/>
    <d v="2024-03-22T00:00:00"/>
    <s v="Networking "/>
    <n v="10"/>
    <n v="10"/>
    <s v="First time for this event to be in person. They had a very small crowd and dont recommend prioritizing this event until it grows more"/>
    <s v="Paredez, Emily "/>
    <m/>
    <n v="1"/>
  </r>
  <r>
    <x v="2"/>
    <s v="Glendora Chamber Mixer"/>
    <d v="2024-01-16T00:00:00"/>
    <s v="Networking"/>
    <n v="10"/>
    <n v="10"/>
    <s v="very small turn out and not worth attending again"/>
    <s v="Paredez, Emily "/>
    <m/>
    <n v="1"/>
  </r>
  <r>
    <x v="2"/>
    <s v="Arcadia Chamber of Commerce Networking at Noon"/>
    <d v="2023-11-28T00:00:00"/>
    <s v="Networking "/>
    <n v="10"/>
    <n v="10"/>
    <s v="Surprised at how small the crowd was and how late people showed up. Normally, this is a good event to attend."/>
    <s v="Paredez, Emily "/>
    <s v="Ontario"/>
    <n v="1"/>
  </r>
  <r>
    <x v="2"/>
    <s v="Arcadia Chamber "/>
    <d v="2023-10-03T00:00:00"/>
    <s v="Networking "/>
    <n v="10"/>
    <n v="10"/>
    <s v="Accepted new member gift and got a minute to speak about ONT"/>
    <s v="Paredez, Emily "/>
    <s v="Ontario"/>
    <n v="1"/>
  </r>
  <r>
    <x v="2"/>
    <s v="Glendora Chamber of Commerce Business Buzz"/>
    <d v="2023-04-07T00:00:00"/>
    <s v="Networking"/>
    <n v="10"/>
    <n v="10"/>
    <s v="Small crowd, but great conversations about ONT. Lots of consistent ONT passengers. However,I would not prioritize this event moving forward though."/>
    <s v="Paredez, Emily"/>
    <s v="Ontario"/>
    <n v="1"/>
  </r>
  <r>
    <x v="2"/>
    <s v="Fontana Chamber Coffee and Donuts"/>
    <d v="2025-10-22T00:00:00"/>
    <s v="Networking"/>
    <n v="11"/>
    <n v="11"/>
    <m/>
    <s v="Juleen Erives"/>
    <s v="Fontana"/>
    <n v="1"/>
  </r>
  <r>
    <x v="2"/>
    <s v="Chino Valley Chamber B@B"/>
    <d v="2023-06-21T00:00:00"/>
    <s v="Networking "/>
    <n v="30"/>
    <n v="12"/>
    <s v="Smaller group this time around, but great connections as always. I got another invite to an upcoming event"/>
    <s v="Paredez, Emily "/>
    <s v="Ontario"/>
    <n v="2.5"/>
  </r>
  <r>
    <x v="2"/>
    <s v="Fontana Chamber Business Networking Meeting"/>
    <d v="2025-10-24T00:00:00"/>
    <s v="Networking"/>
    <n v="12"/>
    <n v="12"/>
    <m/>
    <s v="Juleen Erives"/>
    <s v="Fontana"/>
    <n v="1"/>
  </r>
  <r>
    <x v="2"/>
    <s v="Placentia Power Networking Lunch"/>
    <d v="2024-09-27T00:00:00"/>
    <s v="Networking"/>
    <n v="12"/>
    <n v="12"/>
    <s v="Smaller than normal group; it was held at a new restaurant than the previous bi-monthly ones so I think that's why. But lots of great connections and happy to be an official member!"/>
    <s v="Connie Royal"/>
    <s v="Placentia"/>
    <n v="1"/>
  </r>
  <r>
    <x v="2"/>
    <s v="Norco Chamber Mixer"/>
    <d v="2024-05-30T00:00:00"/>
    <s v="Networking "/>
    <n v="12"/>
    <n v="12"/>
    <s v="Small chamber mixer, Everyone was saying how excited they were for the Nashville Flight."/>
    <s v="Jordie Salvador"/>
    <m/>
    <n v="1"/>
  </r>
  <r>
    <x v="2"/>
    <s v="Temecula Valley Chamber Young Professionals Networking Luncheon"/>
    <d v="2024-03-08T00:00:00"/>
    <s v="Networking "/>
    <n v="12"/>
    <n v="12"/>
    <s v="Smaller group but they were very happy to have us present."/>
    <s v="Jenny Contreras "/>
    <m/>
    <n v="1"/>
  </r>
  <r>
    <x v="2"/>
    <s v="La Verne Chamber Lunch and Learn "/>
    <d v="2024-02-14T00:00:00"/>
    <s v="Networking"/>
    <n v="12"/>
    <n v="12"/>
    <s v="Small crowd but was expected for this type of event. They partner with the San Dimas Chamber alot so similar connections in the room"/>
    <s v="Paredez, Emily "/>
    <m/>
    <n v="1"/>
  </r>
  <r>
    <x v="2"/>
    <s v="Monrovia Chamber of Commerce"/>
    <d v="2023-06-21T00:00:00"/>
    <s v="Networking "/>
    <n v="12"/>
    <n v="12"/>
    <s v="Very small crowd. Recommend attending breakfast or mixer event they do better. However, very engaged audience."/>
    <s v="Paredez, Emily "/>
    <s v="Ontario"/>
    <n v="1"/>
  </r>
  <r>
    <x v="2"/>
    <s v="Yorba Linda Chamber Lunch Mob"/>
    <d v="2025-01-14T00:00:00"/>
    <s v="Networking"/>
    <n v="5"/>
    <n v="12"/>
    <m/>
    <s v="Connie Royal"/>
    <s v="Yorba Linda"/>
    <n v="0.41666666666666669"/>
  </r>
  <r>
    <x v="2"/>
    <s v="B@B Chino Valley Chamber "/>
    <d v="2023-08-02T00:00:00"/>
    <s v="Networking "/>
    <n v="20"/>
    <n v="13"/>
    <s v="Great turn out as usual. Lots of opportunity to network"/>
    <s v="Paredez, Emily "/>
    <s v="Ontario"/>
    <n v="1.5384615384615385"/>
  </r>
  <r>
    <x v="2"/>
    <s v="Women in Business Connections - San Dimas Chamber"/>
    <d v="2024-09-24T00:00:00"/>
    <s v=" Networking"/>
    <n v="13"/>
    <n v="13"/>
    <s v="smaller crowd this time but invested in learning about ONT"/>
    <s v="Paredez, Emily"/>
    <s v="San Dimas"/>
    <n v="1"/>
  </r>
  <r>
    <x v="2"/>
    <s v="Monrovia Lunch Mob"/>
    <d v="2024-08-21T00:00:00"/>
    <s v="Networking "/>
    <n v="13"/>
    <n v="13"/>
    <s v="This was a good turnout, had quality time to talk to each member, an open forum to have community and county-wide conversations. Had some great conversations about transportation to ONT and input form longtime community members on what they would like to see from ONT as well as had a chance to dispell any false narratives about the airport/LAWA."/>
    <s v="Sadie Gribbon"/>
    <s v="Monrovia"/>
    <n v="1"/>
  </r>
  <r>
    <x v="2"/>
    <s v="San Dimas Monthly Luncheon"/>
    <d v="2023-05-24T00:00:00"/>
    <s v="Networking"/>
    <n v="13"/>
    <n v="13"/>
    <s v="Small crowd and might not be the best event to attend. However, they were happy to promote our mixer! "/>
    <s v="Paredez, Emily "/>
    <s v="Ontario"/>
    <n v="1"/>
  </r>
  <r>
    <x v="2"/>
    <s v="*Speaking* Good Morning Perris "/>
    <d v="2024-07-10T00:00:00"/>
    <s v="Presenting"/>
    <n v="14"/>
    <n v="14"/>
    <s v="Smaller chamber but they were very excited to have us present"/>
    <s v="Jennifer Contreras "/>
    <s v="Perris"/>
    <n v="1"/>
  </r>
  <r>
    <x v="2"/>
    <s v="*Speaking* Corona Circle City Kiwanis"/>
    <d v="2024-05-07T00:00:00"/>
    <s v="Presenting "/>
    <n v="14"/>
    <n v="14"/>
    <s v="Smaller group, but they appreciated ONT going out to speak to them and booked another presentation from this event. "/>
    <s v="Jennifer Contreras "/>
    <m/>
    <n v="1"/>
  </r>
  <r>
    <x v="2"/>
    <s v="Chino Valley Salute to Safety"/>
    <d v="2024-03-21T00:00:00"/>
    <s v="Networking "/>
    <n v="150"/>
    <n v="15"/>
    <s v="Wonderful event honoring fire, police and sheriff's. plenty of time top network at our table while eating lunch, we did not have an assigned table although we sponsored so something to look into ahead of time next year. A lot of representatives present, including Supervisor Hagman."/>
    <s v="Sadie Gribbon, Connie Royal"/>
    <m/>
    <n v="10"/>
  </r>
  <r>
    <x v="2"/>
    <s v="Chino Valley Chamber of Commerce- B@B"/>
    <d v="2023-10-04T00:00:00"/>
    <s v="Networking "/>
    <n v="30"/>
    <n v="15"/>
    <s v="Smaller event this time, but Zeb shared a great impact report from the chamber "/>
    <s v="Paredez, Emily "/>
    <s v="Ontario"/>
    <n v="2"/>
  </r>
  <r>
    <x v="2"/>
    <s v="Monrovia Chamber of Commerce"/>
    <d v="2023-09-07T00:00:00"/>
    <s v="Networking "/>
    <n v="30"/>
    <n v="15"/>
    <s v="Actually a very good event. More and more people arrived later but made great connections. Targeting this city because they are not aware of ONT"/>
    <s v="Paredez, Emily "/>
    <s v="Ontario"/>
    <n v="2"/>
  </r>
  <r>
    <x v="2"/>
    <s v="Innovate Claremont"/>
    <d v="2025-08-07T00:00:00"/>
    <s v="Networking "/>
    <n v="15"/>
    <n v="15"/>
    <m/>
    <s v="Sadie Gribbon"/>
    <s v="Claremont"/>
    <n v="1"/>
  </r>
  <r>
    <x v="2"/>
    <s v="Placentia Chamber Lunch Mob"/>
    <d v="2025-06-06T00:00:00"/>
    <s v="Networking "/>
    <n v="15"/>
    <n v="15"/>
    <m/>
    <s v="Connie Royal"/>
    <s v="Placentia"/>
    <n v="1"/>
  </r>
  <r>
    <x v="2"/>
    <s v="Upland Membership Monthly Luncheon"/>
    <d v="2025-03-07T00:00:00"/>
    <s v="Networking "/>
    <n v="15"/>
    <n v="15"/>
    <m/>
    <s v="Emily Paredez"/>
    <s v="Upland"/>
    <n v="1"/>
  </r>
  <r>
    <x v="2"/>
    <s v="Rialto Chamber Meeting"/>
    <d v="2024-09-09T00:00:00"/>
    <s v="Networking "/>
    <n v="15"/>
    <n v="15"/>
    <s v="Chamber is in the middle of chamging things. They will be having more events going forward."/>
    <s v="Jordie Annen"/>
    <s v="Rialto"/>
    <n v="1"/>
  </r>
  <r>
    <x v="2"/>
    <s v="*Speaking* Moreno Valley Chamber BIA"/>
    <d v="2024-05-29T00:00:00"/>
    <s v="Presenting "/>
    <n v="15"/>
    <n v="15"/>
    <s v="Turnout was good for this event, a lot of great questions were asked and a very interactive crowd. Would reccommend speking at this event again next year."/>
    <s v="Sadie Gribbon"/>
    <m/>
    <n v="1"/>
  </r>
  <r>
    <x v="2"/>
    <s v="Upland Chamber Luncheon"/>
    <d v="2024-05-23T00:00:00"/>
    <s v=" Networking"/>
    <n v="15"/>
    <n v="15"/>
    <s v="small turnout but building connections here"/>
    <s v="paredez, Emily"/>
    <m/>
    <n v="1"/>
  </r>
  <r>
    <x v="2"/>
    <s v="La Habra Chamber of Commerce Connect Up"/>
    <d v="2024-05-09T00:00:00"/>
    <s v="Networking"/>
    <n v="15"/>
    <n v="15"/>
    <s v="Was able to make a mini presentation about myself and ONT; the President is so kind and welcoming. The group was filled with very passionate residents who care about businesses in the community. Great group to be around and will definitely be attending more meetings. Also working on a speaking opportunity in a few weeks."/>
    <s v="Connie Royal"/>
    <m/>
    <n v="1"/>
  </r>
  <r>
    <x v="2"/>
    <s v="Norco Chamber Luncheon"/>
    <d v="2024-05-01T00:00:00"/>
    <s v="Networking "/>
    <n v="15"/>
    <n v="15"/>
    <s v="Norco had a small chamber lunch, I did a 30 second speech and got to know surrounding guests at the table. Lots of small businesses are a part of this chamber. Made some great connections!"/>
    <s v="Jordie Salvador"/>
    <m/>
    <n v="1"/>
  </r>
  <r>
    <x v="2"/>
    <s v="Upland State of the City"/>
    <d v="2024-03-26T00:00:00"/>
    <s v="Networking "/>
    <n v="15"/>
    <n v="15"/>
    <s v="Big attendance, but the overall event was okay. Still recommend attending next year to learn more about what is coming to the city."/>
    <s v="Paredez, Emily"/>
    <m/>
    <n v="1"/>
  </r>
  <r>
    <x v="2"/>
    <s v="San Dimas Chamber Coffee Hour"/>
    <d v="2024-03-12T00:00:00"/>
    <s v="Networking "/>
    <n v="15"/>
    <n v="15"/>
    <s v="Not a very good event this time. Limited people and very quick program"/>
    <s v="Paredez, Emily "/>
    <m/>
    <n v="1"/>
  </r>
  <r>
    <x v="2"/>
    <s v="Glendora Chamber Mixer"/>
    <d v="2024-02-20T00:00:00"/>
    <s v="Networking"/>
    <n v="15"/>
    <n v="15"/>
    <s v="Smaller turnouts but increasing presence here and great connections"/>
    <s v="Paredez, Emily "/>
    <m/>
    <n v="1"/>
  </r>
  <r>
    <x v="2"/>
    <s v="Fontana Chamber of Commerce "/>
    <d v="2023-09-15T00:00:00"/>
    <s v="Networking "/>
    <n v="15"/>
    <n v="15"/>
    <s v="small crowd and unorganized event. However, went to support a friend at the fontana chamber of commerce and made two new connections"/>
    <s v="Paredez, Emily "/>
    <s v="Ontario"/>
    <n v="1"/>
  </r>
  <r>
    <x v="2"/>
    <s v="Rancho Chamber Board Retreat"/>
    <d v="2023-07-28T00:00:00"/>
    <s v="Networking "/>
    <n v="15"/>
    <n v="15"/>
    <s v="Representing ONT as board member"/>
    <s v="Steph "/>
    <s v="Ontario"/>
    <n v="1"/>
  </r>
  <r>
    <x v="2"/>
    <s v="San Dimas Chamber"/>
    <d v="2023-06-13T00:00:00"/>
    <s v="Networking "/>
    <n v="15"/>
    <n v="15"/>
    <s v="The crowd was smaller this time but the connections are great. A small opportunity to speak and time to network"/>
    <s v="Paredez, Emily "/>
    <s v="Ontario"/>
    <n v="1"/>
  </r>
  <r>
    <x v="2"/>
    <s v="Claremont Chamber Board Retreat"/>
    <d v="2023-06-10T00:00:00"/>
    <s v="Networking "/>
    <n v="15"/>
    <n v="15"/>
    <m/>
    <s v="Steph"/>
    <s v="Ontario"/>
    <n v="1"/>
  </r>
  <r>
    <x v="2"/>
    <s v="Fontana Chamber Lunch &amp; Learn"/>
    <d v="2024-09-18T00:00:00"/>
    <s v="Networking "/>
    <n v="10"/>
    <n v="15"/>
    <s v="Small group for the lunch and learn. Great way to get some one on one time with chamber members in a smaller setting."/>
    <s v="Jordie Annen"/>
    <s v="Fontana"/>
    <n v="0.66666666666666663"/>
  </r>
  <r>
    <x v="2"/>
    <s v="SGV Regional Chamber Strike Up Success"/>
    <d v="2024-06-13T00:00:00"/>
    <s v="Networking"/>
    <n v="10"/>
    <n v="15"/>
    <s v="We went bowling! It was so fun, and it was actually an awesome opportunity to interact with people and get to know them. Made great connections; including with the Diamond Bar mayor and his wife. Also spoke with a US Bank employee who manages several branches and he books corporate trips and would like to know more about ONT! Also - I promoted our MCM and many were excited and said they were going to attend."/>
    <s v="Connie Royal"/>
    <m/>
    <n v="0.66666666666666663"/>
  </r>
  <r>
    <x v="2"/>
    <s v="Placentia Power Networking"/>
    <d v="2024-04-12T00:00:00"/>
    <s v="Networking"/>
    <n v="10"/>
    <n v="15"/>
    <s v="Small group. A lot of member cross over from Yorba Linda and Brea Chamber. Trying to determine if the Placentia Chamber of Commerce is a community we should also focus on since it neighbors Yorba Linda and Brea. Will continue to follow and gauge."/>
    <s v="Connie Royal"/>
    <m/>
    <n v="0.66666666666666663"/>
  </r>
  <r>
    <x v="2"/>
    <s v="Corona Young Professionals Mixer"/>
    <d v="2023-08-24T00:00:00"/>
    <s v="Networking "/>
    <n v="10"/>
    <n v="15"/>
    <s v="Not well attended since it was their first young professionals mixer/event. "/>
    <s v="Contreras, Jennifer "/>
    <s v="Ontario"/>
    <n v="0.66666666666666663"/>
  </r>
  <r>
    <x v="2"/>
    <s v="Eastvale Chamber of Commerce "/>
    <d v="2023-07-20T00:00:00"/>
    <s v="Networking "/>
    <n v="10"/>
    <n v="15"/>
    <s v="Great active shooter training. I knew most of the connections in the room. Very little new faces."/>
    <s v="Paredez, Emily "/>
    <s v="Ontario"/>
    <n v="0.66666666666666663"/>
  </r>
  <r>
    <x v="2"/>
    <s v="Yorba Linda Chamber Lunch Mob"/>
    <d v="2025-06-10T00:00:00"/>
    <s v="Networking"/>
    <n v="8"/>
    <n v="15"/>
    <m/>
    <s v="Connie Royal"/>
    <s v="Yorba Linda"/>
    <n v="0.53333333333333333"/>
  </r>
  <r>
    <x v="2"/>
    <s v="Corona Coffee with an Entrepeneur "/>
    <d v="2023-02-02T00:00:00"/>
    <s v="Networking "/>
    <n v="8"/>
    <n v="15"/>
    <s v="Small turnout but good engagement and conversations. "/>
    <s v="Rehmani, Ain"/>
    <s v="Ontario"/>
    <n v="0.53333333333333333"/>
  </r>
  <r>
    <x v="2"/>
    <s v="Yorba Linda Chamber Lunch Mob"/>
    <d v="2024-07-09T00:00:00"/>
    <s v="Networking"/>
    <n v="5"/>
    <n v="15"/>
    <s v="This lunch mob event was held at a Clyde's Hot Chicken restaurant and it was a bit tight inside, so I was only able to network with the folks I was sitting near. It was also a bit loud in the restaurant because of the music. If I were the chamber, I would have turned down the music so people could better network."/>
    <s v="Connie Royal"/>
    <s v="Yorba Linda"/>
    <n v="0.33333333333333331"/>
  </r>
  <r>
    <x v="2"/>
    <s v="Greater Riverside"/>
    <d v="2023-08-15T00:00:00"/>
    <s v="Networking"/>
    <n v="5"/>
    <n v="15"/>
    <s v="Not as large of a crowd as GMR but more time to network at this event"/>
    <s v="Paredez, Emily "/>
    <s v="Ontario"/>
    <n v="0.33333333333333331"/>
  </r>
  <r>
    <x v="2"/>
    <s v="Pomona Chamber of Commerce Coffee Connections"/>
    <d v="2025-01-31T00:00:00"/>
    <s v="Networking "/>
    <n v="4"/>
    <n v="15"/>
    <m/>
    <s v="Emily Paredez"/>
    <s v="Pomona"/>
    <n v="0.26666666666666666"/>
  </r>
  <r>
    <x v="2"/>
    <s v="Rialto Chamber October Networking Breakfast"/>
    <d v="2025-10-14T00:00:00"/>
    <s v="Networking"/>
    <n v="16"/>
    <n v="16"/>
    <m/>
    <s v="Juleen Erives "/>
    <s v="Rialto"/>
    <n v="1"/>
  </r>
  <r>
    <x v="2"/>
    <s v="Montclair Chamber Networking Breakfast"/>
    <d v="2025-10-09T00:00:00"/>
    <s v="Networking"/>
    <n v="16"/>
    <n v="16"/>
    <m/>
    <s v="Juleen Erives "/>
    <s v="Montclair"/>
    <n v="1"/>
  </r>
  <r>
    <x v="2"/>
    <s v="Placentia Chamber Power Networking Lunch"/>
    <d v="2024-07-12T00:00:00"/>
    <s v="Networking"/>
    <n v="10"/>
    <n v="16"/>
    <s v="This chamber is always very welcoming and I enjoy coming to their meetings. I also hope to join!"/>
    <s v="Connie Royal"/>
    <s v="Placentia"/>
    <n v="0.625"/>
  </r>
  <r>
    <x v="2"/>
    <s v="Moreno Valley Business in Action"/>
    <d v="2025-11-12T00:00:00"/>
    <s v="Networking"/>
    <n v="17"/>
    <n v="17"/>
    <m/>
    <s v="Juleen Erives"/>
    <s v="Moreno Valley"/>
    <n v="1"/>
  </r>
  <r>
    <x v="2"/>
    <s v="Placentia Chamber Lunch Mob"/>
    <d v="2025-10-17T00:00:00"/>
    <s v="Networking"/>
    <n v="17"/>
    <n v="17"/>
    <m/>
    <s v="Connie Royal"/>
    <s v="Placentia"/>
    <n v="1"/>
  </r>
  <r>
    <x v="2"/>
    <s v="Montclair Chamber Networking Breakfast"/>
    <d v="2025-09-11T00:00:00"/>
    <s v="Networking"/>
    <n v="17"/>
    <n v="17"/>
    <m/>
    <s v="Juleen Erives "/>
    <s v="Montclair"/>
    <n v="1"/>
  </r>
  <r>
    <x v="2"/>
    <s v="Brea Chamber Networking @ Noon"/>
    <d v="2024-07-24T00:00:00"/>
    <s v="Networking"/>
    <n v="5"/>
    <n v="17"/>
    <s v="This is the last Networking @ Noon event for the Chamber. They're switching to a breakfast with the hopes of higher attendance."/>
    <s v="Connie Royal"/>
    <s v="Brea"/>
    <n v="0.29411764705882354"/>
  </r>
  <r>
    <x v="2"/>
    <s v="San Bernardino Area Chamber "/>
    <d v="2025-10-02T00:00:00"/>
    <s v="Networking"/>
    <n v="18"/>
    <n v="18"/>
    <m/>
    <s v="Juleen Erives"/>
    <s v="San Bernardino"/>
    <n v="1"/>
  </r>
  <r>
    <x v="2"/>
    <s v="Riverside Chamber- Business in Action "/>
    <d v="2025-06-18T00:00:00"/>
    <s v="Networking"/>
    <n v="18"/>
    <n v="18"/>
    <m/>
    <s v="Jennifer Contreras"/>
    <s v="Riverside"/>
    <n v="1"/>
  </r>
  <r>
    <x v="2"/>
    <s v="La Habra Chamber of Commerce Connect Up"/>
    <d v="2025-03-13T00:00:00"/>
    <s v="Networking"/>
    <n v="18"/>
    <n v="18"/>
    <m/>
    <s v="Connie Royal"/>
    <s v="La Habra"/>
    <n v="1"/>
  </r>
  <r>
    <x v="2"/>
    <s v="Riverside Chamber of Commerce- Business in Action"/>
    <d v="2024-08-07T00:00:00"/>
    <s v="Networking "/>
    <n v="18"/>
    <n v="18"/>
    <s v="Great group. My goal is to book a presentation at this meeting. "/>
    <s v="Jennifer Contreras "/>
    <s v="Riverside"/>
    <n v="1"/>
  </r>
  <r>
    <x v="2"/>
    <s v="Temecula Valley Young Professionals Luncheon"/>
    <d v="2024-05-10T00:00:00"/>
    <s v="Temecula "/>
    <n v="18"/>
    <n v="18"/>
    <s v="Great place to make connections. Reccomend taking a door prize for extra exposure"/>
    <s v="Jennifer Contreras "/>
    <m/>
    <n v="1"/>
  </r>
  <r>
    <x v="2"/>
    <s v="Jurupa Valley Chamber Business Networking Meeting "/>
    <d v="2024-05-09T00:00:00"/>
    <s v="Networking "/>
    <n v="18"/>
    <n v="18"/>
    <s v="Smaller crowd but if you take a door prize you have an opportunity for extra exposure. "/>
    <s v="Jennifer Contreras "/>
    <m/>
    <n v="1"/>
  </r>
  <r>
    <x v="2"/>
    <s v="*Speaking* Norco Chamber Business Breakfast RoundTable"/>
    <d v="2023-11-15T00:00:00"/>
    <s v="Presenting"/>
    <n v="18"/>
    <n v="18"/>
    <s v="Presentation was well received. I got several comments that attendees learned a lot about the airport!"/>
    <s v="Contreras, Jennifer "/>
    <s v="Ontario"/>
    <n v="1"/>
  </r>
  <r>
    <x v="2"/>
    <s v="Brea Chamber Networking @ Noon"/>
    <d v="2024-07-10T00:00:00"/>
    <s v="Networking"/>
    <n v="5"/>
    <n v="18"/>
    <s v="Better turnout than usual"/>
    <s v="Connie Royal"/>
    <s v="Brea"/>
    <n v="0.27777777777777779"/>
  </r>
  <r>
    <x v="2"/>
    <s v="San dimas multichamber mixer"/>
    <d v="2023-12-14T00:00:00"/>
    <s v=" Networking"/>
    <n v="60"/>
    <n v="20"/>
    <s v="GREAT turnout I was surprised. Lots of great connections in the room and basically all of SGV in the room as well."/>
    <s v="Paredez, Emily "/>
    <s v="Ontario"/>
    <n v="3"/>
  </r>
  <r>
    <x v="2"/>
    <s v="La verne chamber of commerce"/>
    <d v="2024-09-05T00:00:00"/>
    <s v="Networking "/>
    <n v="30"/>
    <n v="20"/>
    <s v="going under new leadership and way more people are attending events with city council more involved"/>
    <s v="Paredez, Emily "/>
    <s v="La Verne"/>
    <n v="1.5"/>
  </r>
  <r>
    <x v="2"/>
    <s v="Norco Lunch with Friends"/>
    <d v="2025-10-12T00:00:00"/>
    <s v="Presenting"/>
    <n v="20"/>
    <n v="20"/>
    <m/>
    <m/>
    <s v="Norco"/>
    <n v="1"/>
  </r>
  <r>
    <x v="2"/>
    <s v="Temecula Chamber- Valley Young Professionals Luncheon "/>
    <d v="2025-08-08T00:00:00"/>
    <s v="Networking "/>
    <n v="20"/>
    <n v="20"/>
    <m/>
    <s v="Jennifer Contreras and Juleen Erives "/>
    <s v="Temecula"/>
    <n v="1"/>
  </r>
  <r>
    <x v="2"/>
    <s v="La Habra Chamber Connect Up"/>
    <d v="2025-08-07T00:00:00"/>
    <s v="Networking"/>
    <n v="20"/>
    <n v="20"/>
    <m/>
    <s v="Connie Royal"/>
    <s v="La Habra"/>
    <n v="1"/>
  </r>
  <r>
    <x v="2"/>
    <s v="Claremont Chamber New Member Mixer"/>
    <d v="2025-07-29T00:00:00"/>
    <s v="Networking "/>
    <n v="20"/>
    <n v="20"/>
    <m/>
    <m/>
    <s v="Claremont"/>
    <n v="1"/>
  </r>
  <r>
    <x v="2"/>
    <s v="Claremont Chamber Board Meeting"/>
    <d v="2025-05-27T00:00:00"/>
    <s v="Networking "/>
    <n v="20"/>
    <n v="20"/>
    <s v="Steph on Board"/>
    <s v="Steph"/>
    <s v="Claremont"/>
    <n v="1"/>
  </r>
  <r>
    <x v="2"/>
    <s v="Connect in Covina: Where Businesses Lunch, Learn, and Link Up!"/>
    <d v="2025-05-20T00:00:00"/>
    <s v="Networking"/>
    <n v="20"/>
    <n v="20"/>
    <m/>
    <s v="Connie Royal"/>
    <s v="Covina"/>
    <n v="1"/>
  </r>
  <r>
    <x v="2"/>
    <s v="Rancho Cucamonga Chamber Board Meeting"/>
    <d v="2025-04-23T00:00:00"/>
    <s v="Networking "/>
    <n v="20"/>
    <n v="20"/>
    <s v="Steph on Board"/>
    <s v="Steph"/>
    <s v="Rancho cucamonga"/>
    <n v="1"/>
  </r>
  <r>
    <x v="2"/>
    <s v="Claremont Chamber Board Meeting"/>
    <d v="2025-04-22T00:00:00"/>
    <s v="Networking "/>
    <n v="20"/>
    <n v="20"/>
    <s v="Steph on Board"/>
    <s v="Steph"/>
    <s v="Claremont"/>
    <n v="1"/>
  </r>
  <r>
    <x v="2"/>
    <s v="San Dimas Coffee hour"/>
    <d v="2025-03-26T00:00:00"/>
    <s v="Networking "/>
    <n v="20"/>
    <n v="20"/>
    <m/>
    <s v="Emily Paredez"/>
    <s v="San Dimas"/>
    <n v="1"/>
  </r>
  <r>
    <x v="2"/>
    <s v="Temecula Valley Chamber- Young Valley Professionals Luncheon"/>
    <d v="2025-03-14T00:00:00"/>
    <s v="Networking "/>
    <n v="20"/>
    <n v="20"/>
    <m/>
    <s v="Jennifer Contreras"/>
    <s v="Temecula"/>
    <n v="1"/>
  </r>
  <r>
    <x v="2"/>
    <s v="Rancho Cucamonga Chamber Board Meeting"/>
    <d v="2024-11-30T00:00:00"/>
    <s v="Networking "/>
    <n v="20"/>
    <n v="20"/>
    <s v="Steph on Board"/>
    <m/>
    <s v="Rancho Cucamonga"/>
    <n v="1"/>
  </r>
  <r>
    <x v="2"/>
    <s v="Claremont Chamber Board Meeting"/>
    <d v="2024-11-19T00:00:00"/>
    <s v="Networking "/>
    <n v="20"/>
    <n v="20"/>
    <s v="Steph on Board"/>
    <m/>
    <s v="Claremont"/>
    <n v="1"/>
  </r>
  <r>
    <x v="2"/>
    <s v="Rancho Cucamonga Chamber Board Meeting"/>
    <d v="2024-10-30T00:00:00"/>
    <s v="Networking "/>
    <n v="20"/>
    <n v="20"/>
    <s v="Steph on Board"/>
    <m/>
    <s v="Rancho Cucamonga"/>
    <n v="1"/>
  </r>
  <r>
    <x v="2"/>
    <s v="Tri County Filipino American Chamber of Commerce"/>
    <d v="2024-10-29T00:00:00"/>
    <s v="Presenting"/>
    <n v="20"/>
    <n v="20"/>
    <s v="A bunch of questions at the end and a very engaged group"/>
    <m/>
    <s v="Chino Valley"/>
    <n v="1"/>
  </r>
  <r>
    <x v="2"/>
    <s v="Claremont Chamber Board Meeting"/>
    <d v="2024-10-29T00:00:00"/>
    <s v="Networking "/>
    <n v="20"/>
    <n v="20"/>
    <s v="Steph on Board"/>
    <m/>
    <s v="Claremont"/>
    <n v="1"/>
  </r>
  <r>
    <x v="2"/>
    <s v="Montclair Chamber Ribbon Cutting"/>
    <d v="2024-10-24T00:00:00"/>
    <s v="Networking "/>
    <n v="20"/>
    <n v="20"/>
    <m/>
    <m/>
    <s v="Montclair"/>
    <n v="1"/>
  </r>
  <r>
    <x v="2"/>
    <s v="Midday Mixer"/>
    <d v="2024-10-23T00:00:00"/>
    <s v="Networking "/>
    <n v="20"/>
    <n v="20"/>
    <m/>
    <s v="Sadie Gribbon"/>
    <s v="Menifee"/>
    <n v="1"/>
  </r>
  <r>
    <x v="2"/>
    <s v="Norco Chamber Mixer"/>
    <d v="2024-09-25T00:00:00"/>
    <s v="Networking"/>
    <n v="20"/>
    <n v="20"/>
    <s v="Great turn out, I met a few new people and I am making good connections with the chamber"/>
    <s v="Jordie Annen"/>
    <s v="Norco"/>
    <n v="1"/>
  </r>
  <r>
    <x v="2"/>
    <s v="Rancho Cucamonga Chamber Board Meeting"/>
    <d v="2024-09-25T00:00:00"/>
    <s v="Networking "/>
    <n v="20"/>
    <n v="20"/>
    <s v="Steph on Board"/>
    <m/>
    <s v="Rancho Cucamonga"/>
    <n v="1"/>
  </r>
  <r>
    <x v="2"/>
    <s v="Claremont Chamber Board Meeting"/>
    <d v="2024-09-24T00:00:00"/>
    <s v="Networking "/>
    <n v="20"/>
    <n v="20"/>
    <s v="Steph on Board"/>
    <m/>
    <s v="Claremont"/>
    <n v="1"/>
  </r>
  <r>
    <x v="2"/>
    <s v="Norco Chamber Network Lunch"/>
    <d v="2024-09-04T00:00:00"/>
    <s v="Network"/>
    <n v="20"/>
    <n v="20"/>
    <s v="Network Lunches always have a 30 second commercial. After each one there is always a few people who come up to me with stories, questions, or comments."/>
    <s v="Jordie Annen"/>
    <s v="Norco"/>
    <n v="1"/>
  </r>
  <r>
    <x v="2"/>
    <s v="Rancho Cucamonga Chamber Board Meeting"/>
    <d v="2024-08-29T00:00:00"/>
    <s v="Networking "/>
    <n v="20"/>
    <n v="20"/>
    <s v="Steph on Board"/>
    <m/>
    <s v="Rancho Cucamonga"/>
    <n v="1"/>
  </r>
  <r>
    <x v="2"/>
    <s v="Claremont Chamber Board Meeting"/>
    <d v="2024-08-28T00:00:00"/>
    <s v="Networking "/>
    <n v="20"/>
    <n v="20"/>
    <s v="Steph on Board"/>
    <m/>
    <s v="Claremont"/>
    <n v="1"/>
  </r>
  <r>
    <x v="2"/>
    <s v="Norco Chamber Event"/>
    <d v="2024-07-24T00:00:00"/>
    <s v="Networking"/>
    <n v="20"/>
    <n v="20"/>
    <s v="As usual everyone gives a 30 second commercial. This time however, they asked me back up to give an update on new flights and programs as well as answer some questions for about 5 minutes."/>
    <s v="Jordie Annen"/>
    <s v="Norco"/>
    <n v="1"/>
  </r>
  <r>
    <x v="2"/>
    <s v="Rancho Cucamonga Chamber Board Meeting"/>
    <d v="2024-07-24T00:00:00"/>
    <s v="Networking "/>
    <n v="20"/>
    <n v="20"/>
    <s v="Steph on Board"/>
    <m/>
    <s v="Rancho Cucamonga"/>
    <n v="1"/>
  </r>
  <r>
    <x v="2"/>
    <s v="Claremont Chamber Board Meeting"/>
    <d v="2024-07-23T00:00:00"/>
    <s v="Networking "/>
    <n v="20"/>
    <n v="20"/>
    <s v="Steph on Board"/>
    <m/>
    <s v="Claremont"/>
    <n v="1"/>
  </r>
  <r>
    <x v="2"/>
    <s v="*Speaking* Montclair Chamber Breakfast"/>
    <d v="2024-07-11T00:00:00"/>
    <s v="Presenting "/>
    <n v="20"/>
    <n v="20"/>
    <s v="A lot of great feedback on how they learned a lot from the presentation! "/>
    <s v="Jordie Annen"/>
    <s v="Montclair"/>
    <n v="1"/>
  </r>
  <r>
    <x v="2"/>
    <s v="San Dimas Chamber Coffee Hour"/>
    <d v="2024-07-09T00:00:00"/>
    <s v="Networking "/>
    <n v="20"/>
    <n v="20"/>
    <s v="Better turnout than usual and received feedback regarding pre-book parking"/>
    <s v="Paredez, Emily "/>
    <s v="San Dimas"/>
    <n v="1"/>
  </r>
  <r>
    <x v="2"/>
    <s v="Rancho Cucamonga Chamber Board Meeting"/>
    <d v="2024-06-25T00:00:00"/>
    <s v="Networking "/>
    <n v="20"/>
    <n v="20"/>
    <s v="Steph on Board"/>
    <s v="Steph"/>
    <s v="Rancho cucamonga"/>
    <n v="1"/>
  </r>
  <r>
    <x v="2"/>
    <s v="Jurupa Valley Chamber - Sunrise Success Meetup "/>
    <d v="2024-06-18T00:00:00"/>
    <s v="Networking "/>
    <n v="20"/>
    <n v="20"/>
    <s v="First time attending this event, there was several of the same individuals who attend the luncheon. "/>
    <s v="Jennifer Contreras "/>
    <m/>
    <n v="1"/>
  </r>
  <r>
    <x v="2"/>
    <s v="La Verne Chamber of Commerce"/>
    <d v="2024-06-12T00:00:00"/>
    <s v="Presenting "/>
    <n v="20"/>
    <n v="20"/>
    <s v="Lots of time to speak, great questions, and audience was very engaged and interested in learning more about ONT"/>
    <s v="Paredez, Emily "/>
    <m/>
    <n v="1"/>
  </r>
  <r>
    <x v="2"/>
    <s v="San Dimas Chamber Coffee Hour"/>
    <d v="2024-06-11T00:00:00"/>
    <s v=" Networking "/>
    <n v="20"/>
    <n v="20"/>
    <s v="Promoted MCM"/>
    <s v="Paredez, Emily "/>
    <m/>
    <n v="1"/>
  </r>
  <r>
    <x v="2"/>
    <s v="Rancho Cucamonga Chamber Board Meeting"/>
    <d v="2024-05-29T00:00:00"/>
    <s v="Networking "/>
    <n v="20"/>
    <n v="20"/>
    <s v="Steph on Board"/>
    <m/>
    <s v="Rancho Cucamonga"/>
    <n v="1"/>
  </r>
  <r>
    <x v="2"/>
    <s v="Claremont Chamber Board Meeting"/>
    <d v="2024-05-28T00:00:00"/>
    <s v="Networking "/>
    <n v="20"/>
    <n v="20"/>
    <s v="Steph on Board"/>
    <m/>
    <s v="Claremont"/>
    <n v="1"/>
  </r>
  <r>
    <x v="2"/>
    <s v="Glendora Chamber Luncheon"/>
    <d v="2024-05-09T00:00:00"/>
    <s v="Networking "/>
    <n v="20"/>
    <n v="20"/>
    <m/>
    <s v="Paredez, Emily"/>
    <m/>
    <n v="1"/>
  </r>
  <r>
    <x v="2"/>
    <s v="Rancho Cucamonga Chamber Board Meeting"/>
    <d v="2024-04-24T00:00:00"/>
    <s v="Networking "/>
    <n v="20"/>
    <n v="20"/>
    <s v="Steph on Board"/>
    <m/>
    <s v="Rancho Cucamonga"/>
    <n v="1"/>
  </r>
  <r>
    <x v="2"/>
    <s v="Claremont Chamber Board Meeting"/>
    <d v="2024-04-23T00:00:00"/>
    <s v="Networking "/>
    <n v="20"/>
    <n v="20"/>
    <s v="Steph on Board"/>
    <m/>
    <s v="Claremont"/>
    <n v="1"/>
  </r>
  <r>
    <x v="2"/>
    <s v="Glendora Chamber luncheon"/>
    <d v="2024-04-11T00:00:00"/>
    <s v="Networking "/>
    <n v="20"/>
    <n v="20"/>
    <s v="always have an opportunity to speak. There are more and more people attending this event "/>
    <s v="Paredez, Emily"/>
    <m/>
    <n v="1"/>
  </r>
  <r>
    <x v="2"/>
    <s v="Rancho Cucamonga Chamber Board Meeting"/>
    <d v="2024-03-27T00:00:00"/>
    <s v="Networking "/>
    <n v="20"/>
    <n v="20"/>
    <s v="Steph on Board"/>
    <m/>
    <s v="Rancho Cucamonga"/>
    <n v="1"/>
  </r>
  <r>
    <x v="2"/>
    <s v="San Dimas Chamber Monthly Luncheon"/>
    <d v="2024-03-27T00:00:00"/>
    <s v="Networking "/>
    <n v="20"/>
    <n v="20"/>
    <s v="small attendance but still great connections!"/>
    <s v="Paredez, Emily"/>
    <m/>
    <n v="1"/>
  </r>
  <r>
    <x v="2"/>
    <s v="Claremont Chamber Board Meeting"/>
    <d v="2024-03-26T00:00:00"/>
    <s v="Networking "/>
    <n v="20"/>
    <n v="20"/>
    <s v="Steph on Board"/>
    <m/>
    <s v="Claremont"/>
    <n v="1"/>
  </r>
  <r>
    <x v="2"/>
    <s v="Norco Business Breakfast Roundtable "/>
    <d v="2024-03-20T00:00:00"/>
    <s v="Networking "/>
    <n v="20"/>
    <n v="20"/>
    <s v="Small group but great place to network. "/>
    <s v="Jenny Contreras "/>
    <m/>
    <n v="1"/>
  </r>
  <r>
    <x v="2"/>
    <s v="Glendora Chamber Monthly luncheon"/>
    <d v="2024-03-14T00:00:00"/>
    <s v="Networking "/>
    <n v="20"/>
    <n v="20"/>
    <s v="great connections at this event and more people than I was expecting"/>
    <s v="Paredez, Emily "/>
    <m/>
    <n v="1"/>
  </r>
  <r>
    <x v="2"/>
    <s v="Rancho Cucamonga Chamber Board Meeting"/>
    <d v="2024-02-28T00:00:00"/>
    <s v="Networking "/>
    <n v="20"/>
    <n v="20"/>
    <s v="Steph on Board"/>
    <m/>
    <s v="Rancho Cucamonga"/>
    <n v="1"/>
  </r>
  <r>
    <x v="2"/>
    <s v="Claremont Chamber Board Meeting"/>
    <d v="2024-02-27T00:00:00"/>
    <s v="Networking "/>
    <n v="20"/>
    <n v="20"/>
    <s v="Steph on Board"/>
    <m/>
    <s v="Claremont"/>
    <n v="1"/>
  </r>
  <r>
    <x v="2"/>
    <s v="Rancho Cucamonga Chamber Board Meeting"/>
    <d v="2024-01-24T00:00:00"/>
    <s v="Networking "/>
    <n v="20"/>
    <n v="20"/>
    <s v="Steph on Board"/>
    <m/>
    <s v="Rancho Cucamonga"/>
    <n v="1"/>
  </r>
  <r>
    <x v="2"/>
    <s v="San Dimas Chamber of Commerce"/>
    <d v="2024-01-24T00:00:00"/>
    <s v="Presenting"/>
    <n v="20"/>
    <n v="20"/>
    <s v="Smaller turnout than expected. However, great feedback and interaction with the crowd. There were several questions and able to have more of an indepth conversation about ONT"/>
    <s v="Paredez, Emily "/>
    <m/>
    <n v="1"/>
  </r>
  <r>
    <x v="2"/>
    <s v="Claremont Chamber Board Meeting"/>
    <d v="2024-01-23T00:00:00"/>
    <s v="Networking "/>
    <n v="20"/>
    <n v="20"/>
    <s v="Steph on Board"/>
    <m/>
    <s v="Claremont"/>
    <n v="1"/>
  </r>
  <r>
    <x v="2"/>
    <s v="Chino Valley Chamber B@B"/>
    <d v="2024-01-03T00:00:00"/>
    <s v="Networking"/>
    <n v="20"/>
    <n v="20"/>
    <m/>
    <s v="Paredez, Emily "/>
    <m/>
    <n v="1"/>
  </r>
  <r>
    <x v="2"/>
    <s v="Chino Valley Chamber B@B"/>
    <d v="2024-01-03T00:00:00"/>
    <s v="Networking "/>
    <n v="20"/>
    <n v="20"/>
    <s v="smaller turnout because people were out sick"/>
    <s v="Paredez, Emily "/>
    <s v="Ontario"/>
    <n v="1"/>
  </r>
  <r>
    <x v="2"/>
    <s v="Eastvale Chamber of Commerce - Mixer"/>
    <d v="2023-11-16T00:00:00"/>
    <s v="Networking "/>
    <n v="20"/>
    <n v="20"/>
    <s v="Morning mixers are better attended then the evening ones, but a few new faces in the room."/>
    <s v="Paredez, Emily "/>
    <s v="Ontario"/>
    <n v="1"/>
  </r>
  <r>
    <x v="2"/>
    <s v="Chino Valley Chamber of Commerce- B@B"/>
    <d v="2023-11-08T00:00:00"/>
    <s v="Networking "/>
    <n v="20"/>
    <n v="20"/>
    <s v="This event is getting smaller with mostly ambassadors showing up. This might be an event that I will attend less in the future due to low networking opportunties."/>
    <s v="Paredez, Emily "/>
    <s v="Ontario"/>
    <n v="1"/>
  </r>
  <r>
    <x v="2"/>
    <s v=" Norco- NACC's After-Hours Business Mixer with Lunch With Friends"/>
    <d v="2023-09-28T00:00:00"/>
    <s v="Networking "/>
    <n v="20"/>
    <n v="20"/>
    <s v="Smaller crowd but great opportunity to network with all attendees"/>
    <s v="Contreras, Jennifer "/>
    <s v="Ontario"/>
    <n v="1"/>
  </r>
  <r>
    <x v="2"/>
    <s v="BIA Riverside Event "/>
    <d v="2023-09-20T00:00:00"/>
    <s v="Networking "/>
    <n v="20"/>
    <n v="20"/>
    <s v="Smaller turnout than last time but they give time for networking"/>
    <s v="Paredez, Emily "/>
    <s v="Ontario"/>
    <n v="1"/>
  </r>
  <r>
    <x v="2"/>
    <s v="San Dimas WIBC"/>
    <d v="2023-09-19T00:00:00"/>
    <s v="Networking "/>
    <n v="20"/>
    <n v="20"/>
    <s v="Crowd is growing and always great connections here"/>
    <s v="Paredez, Emily "/>
    <s v="Ontario"/>
    <n v="1"/>
  </r>
  <r>
    <x v="2"/>
    <s v="Jurupa Valley Chamber"/>
    <d v="2023-09-14T00:00:00"/>
    <s v="Presenting"/>
    <n v="20"/>
    <n v="20"/>
    <s v="Smaller crowd than what was expecting. Very good feedback after the presentation, but several sponsorship requests."/>
    <s v="Paredez, Emily "/>
    <s v="Ontario"/>
    <n v="1"/>
  </r>
  <r>
    <x v="2"/>
    <s v="Azusa"/>
    <d v="2023-08-17T00:00:00"/>
    <s v="Networking "/>
    <n v="20"/>
    <n v="20"/>
    <s v="Larger crowd than I was expecting. Got an update from the City Manager that alot of events are coming in the fall to celebrate 125th year of Azusa"/>
    <s v="Paredez, Emily "/>
    <s v="Ontario"/>
    <n v="1"/>
  </r>
  <r>
    <x v="2"/>
    <s v="Arcadia Chamber Networking at Noon"/>
    <d v="2023-07-25T00:00:00"/>
    <s v="Networking "/>
    <n v="20"/>
    <n v="20"/>
    <s v="This is a great chamber and got to educate several people who travel frequently about ONT"/>
    <s v="Paredez, Emily "/>
    <s v="Ontario"/>
    <n v="1"/>
  </r>
  <r>
    <x v="2"/>
    <s v="Arcadia Chamber Networking at Noon"/>
    <d v="2023-05-23T00:00:00"/>
    <s v="Networking "/>
    <n v="20"/>
    <n v="20"/>
    <s v="Smaller crowd this time but very supportive of announcing our events and always has introductions"/>
    <s v="Paredez, Emily "/>
    <s v="Ontario"/>
    <n v="1"/>
  </r>
  <r>
    <x v="2"/>
    <s v="Eastvale After-Hours Mixer"/>
    <d v="2022-01-22T00:00:00"/>
    <s v="Network, Multi-Chamber Mixer"/>
    <n v="20"/>
    <n v="20"/>
    <s v="Was given an opportunity to introduce myself, briefly go over airport updates and invite attendees to the mixer"/>
    <s v="Priscilla"/>
    <s v="Ontario"/>
    <n v="1"/>
  </r>
  <r>
    <x v="2"/>
    <s v="Orange Lunch Mixer"/>
    <d v="2022-01-19T00:00:00"/>
    <s v="Network, Multi-Chamber Mixer"/>
    <n v="20"/>
    <n v="20"/>
    <s v="Was given an opportunity to introduce myself and briefly go over airport updates. Was givent a second opportunity to discuss the mixer and invite attendees"/>
    <s v="Priscilla"/>
    <s v="Ontario"/>
    <n v="1"/>
  </r>
  <r>
    <x v="2"/>
    <s v="Women in business celebration"/>
    <d v="2024-07-30T00:00:00"/>
    <s v="Networking "/>
    <n v="15"/>
    <n v="20"/>
    <m/>
    <s v="paredez, emily"/>
    <s v="Glendora"/>
    <n v="0.75"/>
  </r>
  <r>
    <x v="2"/>
    <s v="RC Chamber BCN"/>
    <d v="2025-10-09T00:00:00"/>
    <s v="Networking "/>
    <n v="10"/>
    <n v="20"/>
    <m/>
    <s v="Emily Paredez  "/>
    <s v="Rancho Cucamonga "/>
    <n v="0.5"/>
  </r>
  <r>
    <x v="2"/>
    <s v="Temecula Valley Chamber- March Professional Collective "/>
    <d v="2025-03-11T00:00:00"/>
    <s v="Networking "/>
    <n v="10"/>
    <n v="20"/>
    <m/>
    <s v="Jennifer Contreras"/>
    <s v="Temecula"/>
    <n v="0.5"/>
  </r>
  <r>
    <x v="2"/>
    <s v="Glendora Chamber of Commerce"/>
    <d v="2024-12-18T00:00:00"/>
    <s v="Networking "/>
    <n v="10"/>
    <n v="20"/>
    <s v=" Smaller turnout this time in comparison to last time. Event can be drug out"/>
    <s v="Paredez, Emily "/>
    <s v="Glendora"/>
    <n v="0.5"/>
  </r>
  <r>
    <x v="2"/>
    <s v="Yorba Linda Chamber Lunch Mob"/>
    <d v="2025-02-13T00:00:00"/>
    <s v="Networking"/>
    <n v="8"/>
    <n v="20"/>
    <m/>
    <s v="Connie Royal"/>
    <s v="Yorba Linda"/>
    <n v="0.4"/>
  </r>
  <r>
    <x v="2"/>
    <s v="Riverside Chamber of Commerce Mixer"/>
    <d v="2023-11-29T00:00:00"/>
    <s v="Networking "/>
    <n v="8"/>
    <n v="20"/>
    <s v="Smaller crowd than usual and was not a great turn out"/>
    <s v="Paredez, Emily "/>
    <s v="Ontario"/>
    <n v="0.4"/>
  </r>
  <r>
    <x v="2"/>
    <s v="Whittier Chamber Business Economic Outlook"/>
    <d v="2024-10-23T00:00:00"/>
    <s v="Networking"/>
    <n v="6"/>
    <n v="20"/>
    <m/>
    <m/>
    <s v="Whittier"/>
    <n v="0.3"/>
  </r>
  <r>
    <x v="2"/>
    <s v="Yorba Linda Chamber Lunch Mob"/>
    <d v="2024-04-09T00:00:00"/>
    <s v="Networking"/>
    <n v="6"/>
    <n v="20"/>
    <s v="It was my first lunch mob - but I thought it was good attendance for a luncheon at a small local sandwich shop. I met a YL chamber member who is a DJ and I think he could be a great vendor for future events. I also got in contact with someone at the YL Woman's Club and will be attending one of their meetings soon. Will definitely be attending more Lunch Mobs!"/>
    <s v="Connie Royal"/>
    <m/>
    <n v="0.3"/>
  </r>
  <r>
    <x v="2"/>
    <s v="Norco Chamber Ribbon Cutting"/>
    <d v="2024-10-04T00:00:00"/>
    <s v="Networking"/>
    <n v="5"/>
    <n v="20"/>
    <m/>
    <m/>
    <s v="Norco"/>
    <n v="0.25"/>
  </r>
  <r>
    <x v="2"/>
    <s v="La Habra Chamber of Commerce Connect Up"/>
    <d v="2024-07-25T00:00:00"/>
    <s v="Networking"/>
    <n v="5"/>
    <n v="20"/>
    <s v="Medium sized group, and always very welcoming. Lots of dedicated and passionate business owners. They are also a part of the CBA (Chamber Business Alliance) and we've been to their Spring Mixer, which was a GREAT turnout, and hoping to attend their Fall Mixer."/>
    <s v="Connie Royal"/>
    <s v="La Habra"/>
    <n v="0.25"/>
  </r>
  <r>
    <x v="2"/>
    <s v="Virtual LA Chamber Halloween Mixer"/>
    <d v="2021-10-20T00:00:00"/>
    <s v="Network"/>
    <n v="5"/>
    <n v="20"/>
    <s v="Difficult to network online"/>
    <s v="Steph"/>
    <s v="Ontario"/>
    <n v="0.25"/>
  </r>
  <r>
    <x v="2"/>
    <s v="Moreno Valley Business in Action"/>
    <d v="2025-10-08T00:00:00"/>
    <s v="Networking"/>
    <n v="21"/>
    <n v="21"/>
    <m/>
    <s v="Juleen Erives "/>
    <s v="Moreno Valley"/>
    <n v="1"/>
  </r>
  <r>
    <x v="2"/>
    <s v="Jurupa Valley Chamber- After Hours Mixer"/>
    <d v="2025-04-01T00:00:00"/>
    <s v="Networking "/>
    <n v="22"/>
    <n v="22"/>
    <m/>
    <s v="Jennifer Contreras"/>
    <s v="Jurupa Valley"/>
    <n v="1"/>
  </r>
  <r>
    <x v="2"/>
    <s v="Placentia Chamber Power Networking Lunch"/>
    <d v="2025-01-24T00:00:00"/>
    <s v="Networking"/>
    <n v="22"/>
    <n v="22"/>
    <m/>
    <s v="Connie Royal"/>
    <s v="Placentia"/>
    <n v="1"/>
  </r>
  <r>
    <x v="2"/>
    <s v="Glendora Chamber of Commerce"/>
    <d v="2023-08-04T00:00:00"/>
    <s v="Networking "/>
    <n v="22"/>
    <n v="22"/>
    <s v="Big crowd this time and great connections. I knew some familiar faces in the room and opportunities to talk about ONT"/>
    <s v="Paredez, Emily "/>
    <s v="Ontario"/>
    <n v="1"/>
  </r>
  <r>
    <x v="2"/>
    <s v="Placentia Chamber of Commerce Power Networking"/>
    <d v="2024-05-10T00:00:00"/>
    <s v="Networking"/>
    <n v="8"/>
    <n v="22"/>
    <s v="This is a chamber that I definitely think we should join. The group is very active and support a lot of businesses. It's in the area that we are trying to hit hard with ONT as well."/>
    <s v="Connie Royal"/>
    <m/>
    <n v="0.36363636363636365"/>
  </r>
  <r>
    <x v="2"/>
    <s v="Rialto Chamber September Networking Breakfast"/>
    <d v="2025-09-09T00:00:00"/>
    <s v="Networking"/>
    <n v="23"/>
    <n v="23"/>
    <m/>
    <s v="Juleen Erives "/>
    <s v="Rialto"/>
    <n v="1"/>
  </r>
  <r>
    <x v="2"/>
    <s v="Temecula Chamber- Valley Young Professionals Luncheon "/>
    <d v="2025-07-11T00:00:00"/>
    <s v="Networking "/>
    <n v="23"/>
    <n v="23"/>
    <m/>
    <s v="Jennifer Contreras"/>
    <s v="Temecula"/>
    <n v="1"/>
  </r>
  <r>
    <x v="2"/>
    <s v="Rialto Chamber Networking Breakfast"/>
    <d v="2025-11-11T00:00:00"/>
    <s v="Networking"/>
    <n v="24"/>
    <n v="24"/>
    <m/>
    <s v="Juleen Erives"/>
    <s v="Rialto"/>
    <n v="1"/>
  </r>
  <r>
    <x v="2"/>
    <s v="Business in Action "/>
    <d v="2025-10-15T00:00:00"/>
    <s v="Networking "/>
    <n v="24"/>
    <n v="24"/>
    <m/>
    <s v="Jennifer Contreras"/>
    <s v="Riverside "/>
    <n v="1"/>
  </r>
  <r>
    <x v="2"/>
    <s v="Temecula Valley Chamber- Valley Young Professionals Luncheon "/>
    <d v="2025-09-12T00:00:00"/>
    <s v="Networking "/>
    <n v="24"/>
    <n v="24"/>
    <m/>
    <s v="Jennifer Contreras"/>
    <s v="Temecula "/>
    <n v="1"/>
  </r>
  <r>
    <x v="2"/>
    <s v="CV Business at Breakfast event"/>
    <d v="2025-10-15T00:00:00"/>
    <s v="Networking "/>
    <n v="25"/>
    <n v="25"/>
    <m/>
    <s v="Emily Paredez  "/>
    <s v="Chino"/>
    <n v="1"/>
  </r>
  <r>
    <x v="2"/>
    <s v="Business in Action "/>
    <d v="2025-09-17T00:00:00"/>
    <s v="Networking "/>
    <n v="25"/>
    <n v="25"/>
    <m/>
    <s v="Jennifer Contreras"/>
    <s v="Riverside "/>
    <n v="1"/>
  </r>
  <r>
    <x v="2"/>
    <s v="LA Area Chamber: Tourism, Entertainment &amp; Sports Council"/>
    <d v="2025-08-27T00:00:00"/>
    <s v="Networking"/>
    <n v="25"/>
    <n v="25"/>
    <m/>
    <s v="Connie Royal"/>
    <s v="LA Area"/>
    <n v="1"/>
  </r>
  <r>
    <x v="2"/>
    <s v="Placentia Chamber Power Networking Lunch"/>
    <d v="2025-08-08T00:00:00"/>
    <s v="Networking"/>
    <n v="25"/>
    <n v="25"/>
    <m/>
    <s v="Connie Royal"/>
    <s v="Placentia"/>
    <n v="1"/>
  </r>
  <r>
    <x v="2"/>
    <s v="Riverside Chamber of Commerce- Business in Action Meeting "/>
    <d v="2025-04-16T00:00:00"/>
    <s v="Networking "/>
    <n v="25"/>
    <n v="25"/>
    <m/>
    <s v="Jennifer Contreras"/>
    <s v="Riverside"/>
    <n v="1"/>
  </r>
  <r>
    <x v="2"/>
    <s v="Placentia Chamber Power Networking Lunch"/>
    <d v="2025-03-28T00:00:00"/>
    <s v="Networking"/>
    <n v="25"/>
    <n v="25"/>
    <m/>
    <s v="Connie Royal"/>
    <s v="Placentia"/>
    <n v="1"/>
  </r>
  <r>
    <x v="2"/>
    <s v="Glendora Monthly Luncheon"/>
    <d v="2025-03-13T00:00:00"/>
    <s v="Networking "/>
    <n v="25"/>
    <n v="25"/>
    <m/>
    <s v="Emily Paredez"/>
    <s v="Glendora"/>
    <n v="1"/>
  </r>
  <r>
    <x v="2"/>
    <s v="Placentia Chamber Power Networking Lunch"/>
    <d v="2025-02-28T00:00:00"/>
    <s v="Networking"/>
    <n v="25"/>
    <n v="25"/>
    <m/>
    <s v="Connie Royal"/>
    <s v="Placentia"/>
    <n v="1"/>
  </r>
  <r>
    <x v="2"/>
    <s v="Corona Chamber- Commerce and Cocktails "/>
    <d v="2025-02-26T00:00:00"/>
    <s v="Networking "/>
    <n v="25"/>
    <n v="25"/>
    <m/>
    <s v="Jennifer Contreras"/>
    <s v="Corona"/>
    <n v="1"/>
  </r>
  <r>
    <x v="2"/>
    <s v="Glendora Chamber Mixer"/>
    <d v="2025-01-17T00:00:00"/>
    <s v="Networking "/>
    <n v="25"/>
    <n v="25"/>
    <s v="Opportunity to speak at every event which is beneficial"/>
    <s v="Emily Paredez"/>
    <s v="Glendora"/>
    <n v="1"/>
  </r>
  <r>
    <x v="2"/>
    <s v="Good Morning Rialto"/>
    <d v="2024-08-13T00:00:00"/>
    <s v="Networking "/>
    <n v="25"/>
    <n v="25"/>
    <s v="First time at the Rialto Chamber lunch. Supervisor Joe Baca Jr. did announcements about area and what he does as Supervisor. We all did 30 second commercial introductions. They do a breakfast every quarter. "/>
    <s v="Jordie Annen"/>
    <s v="Rialto"/>
    <n v="1"/>
  </r>
  <r>
    <x v="2"/>
    <s v="Montclair Chamber Breakfast"/>
    <d v="2024-08-08T00:00:00"/>
    <s v="Networking "/>
    <n v="25"/>
    <n v="25"/>
    <s v="Chamber breakfast had a good turn out and we were all able to do a round table introduction."/>
    <s v="Jordie Annen"/>
    <s v="Montclair"/>
    <n v="1"/>
  </r>
  <r>
    <x v="2"/>
    <s v="Rancho Chamber Board Retreat"/>
    <d v="2024-07-24T00:00:00"/>
    <s v="Networking "/>
    <n v="25"/>
    <n v="25"/>
    <s v="Steph on Board"/>
    <m/>
    <s v="Rancho Cucamonga"/>
    <n v="1"/>
  </r>
  <r>
    <x v="2"/>
    <s v="Women in Business Connections - San Dimas Chamber"/>
    <d v="2024-07-23T00:00:00"/>
    <s v="Networking "/>
    <n v="25"/>
    <n v="25"/>
    <s v="smaller group but very active and passionate about the airport. Most attended our mixer and had great feedback"/>
    <s v="Paredez, Emily "/>
    <s v="San Dimas"/>
    <n v="1"/>
  </r>
  <r>
    <x v="2"/>
    <s v="Temecula Valley Chamber- Valley Young Professionals Luncheon"/>
    <d v="2024-07-12T00:00:00"/>
    <s v="Networking "/>
    <n v="25"/>
    <n v="25"/>
    <m/>
    <s v="Jennifer Contreras "/>
    <s v="Temecula"/>
    <n v="1"/>
  </r>
  <r>
    <x v="2"/>
    <s v="Tri County County - Filipino Chamber Event"/>
    <d v="2024-06-19T00:00:00"/>
    <s v="Networking"/>
    <n v="25"/>
    <n v="25"/>
    <s v="This chamber connects us with a great audience. I was able to provide more information about our event and several signed up"/>
    <s v="Paredez, Emily "/>
    <m/>
    <n v="1"/>
  </r>
  <r>
    <x v="2"/>
    <s v="Temecula Valley Chamber- Valley Young Professionals Luncheon"/>
    <d v="2024-06-14T00:00:00"/>
    <s v="Networking "/>
    <n v="25"/>
    <n v="25"/>
    <s v="Well attended lunch event. Great place to network "/>
    <s v="Jennifer Contreras "/>
    <m/>
    <n v="1"/>
  </r>
  <r>
    <x v="2"/>
    <s v="Montclair Chamber Breakfast"/>
    <d v="2024-05-09T00:00:00"/>
    <s v="Networking "/>
    <n v="25"/>
    <n v="25"/>
    <s v="Montclair was very happy to have me there to represent the airport. We did introductions to the whole group. I look forward to more events with them."/>
    <s v="Jordie Salvador"/>
    <m/>
    <n v="1"/>
  </r>
  <r>
    <x v="2"/>
    <s v="Jurupa Chamber Business Networking Meeting "/>
    <d v="2024-04-11T00:00:00"/>
    <s v="Networking "/>
    <n v="25"/>
    <n v="25"/>
    <s v="Decent turn out but very happy to have ONT at event."/>
    <s v="Jenny Contreras "/>
    <m/>
    <n v="1"/>
  </r>
  <r>
    <x v="2"/>
    <s v="Temecula Chamber Power Networking "/>
    <d v="2024-04-09T00:00:00"/>
    <s v="Networking "/>
    <n v="25"/>
    <n v="25"/>
    <m/>
    <s v="Jenny Contreras "/>
    <m/>
    <n v="1"/>
  </r>
  <r>
    <x v="2"/>
    <s v="Pomona Chamber Monthly Luncheon"/>
    <d v="2024-03-13T00:00:00"/>
    <s v="Networking "/>
    <n v="25"/>
    <n v="25"/>
    <s v="Smaller turnout that usual and very informal. "/>
    <s v="Paredez, Emily "/>
    <m/>
    <n v="1"/>
  </r>
  <r>
    <x v="2"/>
    <s v="Wake up Menifee"/>
    <d v="2024-02-27T00:00:00"/>
    <s v="Networking"/>
    <n v="25"/>
    <n v="25"/>
    <m/>
    <s v="Jenny Contreras "/>
    <m/>
    <n v="1"/>
  </r>
  <r>
    <x v="2"/>
    <s v="Norco Business Breakfast Roundtable "/>
    <d v="2024-02-21T00:00:00"/>
    <s v="Networking"/>
    <n v="25"/>
    <n v="25"/>
    <s v="This event is attended by the same folks every month, but they are appreciative of us attending. "/>
    <s v="Jenny Contreras "/>
    <m/>
    <n v="1"/>
  </r>
  <r>
    <x v="2"/>
    <s v="Riverside Chamber of Commerce - BIA Event"/>
    <d v="2024-02-07T00:00:00"/>
    <s v="Networking"/>
    <n v="25"/>
    <n v="25"/>
    <s v="Decent turnout but alot of networking opportunities at this event"/>
    <s v="Paredez, Emily "/>
    <m/>
    <n v="1"/>
  </r>
  <r>
    <x v="2"/>
    <s v="Menifee Chamber Wake up Menifee"/>
    <d v="2024-01-16T00:00:00"/>
    <s v="Networking"/>
    <n v="25"/>
    <n v="25"/>
    <s v="Smaller crowd, but event is always attended by city leaders. "/>
    <s v="Jenny Contreras "/>
    <m/>
    <n v="1"/>
  </r>
  <r>
    <x v="2"/>
    <s v="Wake Up Menifee"/>
    <d v="2023-10-17T00:00:00"/>
    <s v="Networking "/>
    <n v="25"/>
    <n v="25"/>
    <s v="Smaller crowd, but very welcoming and they appreicate ONT being at their events"/>
    <s v="Contreras, Jennifer "/>
    <s v="Ontario"/>
    <n v="1"/>
  </r>
  <r>
    <x v="2"/>
    <s v="Wake Up Menifee "/>
    <d v="2023-09-19T00:00:00"/>
    <s v="Networking "/>
    <n v="25"/>
    <n v="25"/>
    <s v="Smaller crowd but great involvment from key stakeholdres"/>
    <s v="Contreras, Jennifer "/>
    <s v="Ontario"/>
    <n v="1"/>
  </r>
  <r>
    <x v="2"/>
    <s v="Chino Valley Chamber "/>
    <d v="2023-08-30T00:00:00"/>
    <s v="Networking "/>
    <n v="25"/>
    <n v="25"/>
    <s v="Great presentation and a consistently large crowd for this morning event. Found another speaking opportunity here."/>
    <s v="Paredez, Emily "/>
    <s v="Ontario"/>
    <n v="1"/>
  </r>
  <r>
    <x v="2"/>
    <s v="Arcadia Chamber Networking at Noon"/>
    <d v="2023-08-22T00:00:00"/>
    <s v="Networking "/>
    <n v="25"/>
    <n v="25"/>
    <s v="Great turnout and now going to be members of this chamber! A guest won ONT swag during the raffle portion. "/>
    <s v="Paredez, Emily "/>
    <s v="Ontario"/>
    <n v="1"/>
  </r>
  <r>
    <x v="2"/>
    <s v="Eastvale Chamber Mixer"/>
    <d v="2023-08-17T00:00:00"/>
    <s v="Networking "/>
    <n v="25"/>
    <n v="25"/>
    <s v="Great opportunties to speak and had a decent crowd at this event"/>
    <s v="Paredez, Emily "/>
    <s v="Ontario"/>
    <n v="1"/>
  </r>
  <r>
    <x v="2"/>
    <s v="WIBC San Dimas"/>
    <d v="2023-07-18T00:00:00"/>
    <s v="Networking "/>
    <n v="25"/>
    <n v="25"/>
    <s v="always a great turn out and give you a good amount of time to talk about your business"/>
    <s v="Paredez, Emily "/>
    <s v="Ontario"/>
    <n v="1"/>
  </r>
  <r>
    <x v="2"/>
    <s v="Riverside Chamber BIA Event"/>
    <d v="2023-06-07T00:00:00"/>
    <s v="Networking "/>
    <n v="25"/>
    <n v="25"/>
    <s v="Great presenter. Reached out to present at the next BIA. Multiple opportunities to network and introductions"/>
    <s v="Paredez, Emily "/>
    <s v="Ontario"/>
    <n v="1"/>
  </r>
  <r>
    <x v="2"/>
    <s v="Chino Valley Chamber B@B"/>
    <d v="2023-05-17T00:00:00"/>
    <s v="Presenting"/>
    <n v="25"/>
    <n v="25"/>
    <s v="Presented in front of the crowd, collected surveys, handed out promo and collateral. Presentation went well and networked after this event."/>
    <s v="Paredez, Emily "/>
    <s v="Ontario"/>
    <n v="1"/>
  </r>
  <r>
    <x v="2"/>
    <s v="RC Chamber Luncheon"/>
    <d v="2025-09-18T00:00:00"/>
    <s v="Networking "/>
    <n v="15"/>
    <n v="25"/>
    <m/>
    <s v="Emily Paredez  "/>
    <s v="Rancho Cucamonga"/>
    <n v="0.6"/>
  </r>
  <r>
    <x v="2"/>
    <s v="Corona Chamber- Member Mixer "/>
    <d v="2025-06-26T00:00:00"/>
    <s v="Networking"/>
    <n v="15"/>
    <n v="25"/>
    <m/>
    <s v="Jennifer Contreras"/>
    <s v="Corona"/>
    <n v="0.6"/>
  </r>
  <r>
    <x v="2"/>
    <s v="La Habra Chamber of Commerce"/>
    <d v="2025-01-30T00:00:00"/>
    <s v="Networking"/>
    <n v="15"/>
    <n v="25"/>
    <m/>
    <s v="Connie Royal"/>
    <s v="La Habra"/>
    <n v="0.6"/>
  </r>
  <r>
    <x v="2"/>
    <s v="Temecula Valley Chamber Women's Professional Collective "/>
    <d v="2024-09-10T00:00:00"/>
    <s v="Networking"/>
    <n v="15"/>
    <n v="25"/>
    <s v="Smaller event but great place to make connections"/>
    <s v="Jennifer Contreras "/>
    <s v="Temecula"/>
    <n v="0.6"/>
  </r>
  <r>
    <x v="2"/>
    <s v="San Dimas Women In Business Connections"/>
    <d v="2023-01-24T00:00:00"/>
    <s v="Networking"/>
    <n v="13"/>
    <n v="25"/>
    <s v="About 30 people showed up. However, they are growing and unexpected people showed up. Great connections!"/>
    <s v="Paredez, Emily "/>
    <s v="Ontario"/>
    <n v="0.52"/>
  </r>
  <r>
    <x v="2"/>
    <s v="Coffee with the City of Murrieta "/>
    <d v="2025-01-28T00:00:00"/>
    <s v="Networking "/>
    <n v="12"/>
    <n v="25"/>
    <m/>
    <s v="Jennifer Contreras"/>
    <s v="Murrieta"/>
    <n v="0.48"/>
  </r>
  <r>
    <x v="2"/>
    <s v="Greater High Desert Chamber- Coffee Break"/>
    <d v="2025-03-07T00:00:00"/>
    <s v="Networking "/>
    <n v="10"/>
    <n v="25"/>
    <m/>
    <s v="Jennifer Contreras"/>
    <s v="Greater High Desert"/>
    <n v="0.4"/>
  </r>
  <r>
    <x v="2"/>
    <s v="Chino Valley Leadership Collaborative"/>
    <d v="2023-12-01T00:00:00"/>
    <s v="Networking "/>
    <n v="10"/>
    <n v="25"/>
    <s v="We dont really do announcements in this group but we have time to network with each other."/>
    <s v="Paredez, Emily "/>
    <s v="Ontario"/>
    <n v="0.4"/>
  </r>
  <r>
    <x v="2"/>
    <s v="Covina Chamber Breakfast Club"/>
    <d v="2025-03-11T00:00:00"/>
    <s v="Networking"/>
    <n v="8"/>
    <n v="25"/>
    <m/>
    <s v="Connie Royal"/>
    <s v="Covina"/>
    <n v="0.32"/>
  </r>
  <r>
    <x v="2"/>
    <s v="Wake Up Menifee"/>
    <d v="2024-05-21T00:00:00"/>
    <s v="Networking "/>
    <n v="8"/>
    <n v="25"/>
    <s v="Good turnout, mayor and city officials often in the crowd, 30 second spot to speak if wanted and I informed the chamber about our upcoming Multi-Chamber Mixer on July 17 with invitations and more detail to come"/>
    <s v="Sadie Gribbon"/>
    <m/>
    <n v="0.32"/>
  </r>
  <r>
    <x v="2"/>
    <s v="Chino Valley Chamber of Commerce- B@B"/>
    <d v="2023-10-18T00:00:00"/>
    <s v="Networking "/>
    <n v="6"/>
    <n v="25"/>
    <s v="A lot of familiar faces in the room. Very few new connections here but great speaker"/>
    <s v="Paredez, Emily "/>
    <s v="Ontario"/>
    <n v="0.24"/>
  </r>
  <r>
    <x v="2"/>
    <s v="Riverside Chamber- Inside La Sierra "/>
    <d v="2024-12-05T00:00:00"/>
    <s v="Networking"/>
    <n v="5"/>
    <n v="25"/>
    <s v="Difficult to network since agenda is set. "/>
    <s v="Jennifer Contreras "/>
    <s v="Riverside"/>
    <n v="0.2"/>
  </r>
  <r>
    <x v="2"/>
    <s v="Norco Chamber Workshop"/>
    <d v="2024-07-31T00:00:00"/>
    <s v="Networking "/>
    <n v="2"/>
    <n v="25"/>
    <s v="This event was more of a classroom setting with no networking time. Not worth attending again unless the topic is relevant."/>
    <s v="Jordie Annen"/>
    <s v="Norco"/>
    <n v="0.08"/>
  </r>
  <r>
    <x v="2"/>
    <s v="Jurupa Valley Chamber- After Hours Mixer"/>
    <d v="2025-07-08T00:00:00"/>
    <s v="Networking "/>
    <n v="14"/>
    <n v="26"/>
    <m/>
    <s v="Jennifer Contreras"/>
    <s v="Jurupa Valley"/>
    <n v="0.53846153846153844"/>
  </r>
  <r>
    <x v="2"/>
    <s v="Coffee Break Meeting "/>
    <d v="2025-09-19T00:00:00"/>
    <s v="Networking "/>
    <n v="27"/>
    <n v="27"/>
    <m/>
    <s v="jennyy"/>
    <s v="Greater High Desert"/>
    <n v="1"/>
  </r>
  <r>
    <x v="2"/>
    <s v="Anaheim Leads Lunch"/>
    <d v="2025-04-09T00:00:00"/>
    <s v="Networking"/>
    <n v="27"/>
    <n v="27"/>
    <m/>
    <s v="Sadie Gribbon"/>
    <s v="Anaheim"/>
    <n v="1"/>
  </r>
  <r>
    <x v="2"/>
    <s v="Fontana Chamber of Commerce "/>
    <d v="2023-07-21T00:00:00"/>
    <s v="Networking "/>
    <n v="27"/>
    <n v="27"/>
    <s v="This event is always growing. They are relocating to accomodate and there are always great connections."/>
    <s v="Paredez, Emily "/>
    <s v="Ontario"/>
    <n v="1"/>
  </r>
  <r>
    <x v="2"/>
    <s v="La Habra Chamber of Commerce Lunch &amp; Learn"/>
    <d v="2025-03-19T00:00:00"/>
    <s v="Networking"/>
    <n v="28"/>
    <n v="28"/>
    <m/>
    <s v="Connie Royal"/>
    <s v="La Habra"/>
    <n v="1"/>
  </r>
  <r>
    <x v="2"/>
    <s v="Jurupa Valley Chamber Business Networking Meeting "/>
    <d v="2024-06-13T00:00:00"/>
    <s v="Networking "/>
    <n v="28"/>
    <n v="28"/>
    <s v="Well attended luncheon. They would like to see ONT join chamber. "/>
    <s v="Jennifer Contreras "/>
    <m/>
    <n v="1"/>
  </r>
  <r>
    <x v="2"/>
    <s v="Lake Forest Chamber Happy Hour Networking "/>
    <d v="2023-01-25T00:00:00"/>
    <s v="Networking "/>
    <n v="17"/>
    <n v="28"/>
    <s v="This chamber is new as of July 2022. The president of Irvine Chamber switched to help this area. Mostly peoples's first chamber event. Good engagement, had many questions about the airport. Great conversations.  "/>
    <s v="Rehmani, Ain"/>
    <s v="Ontario"/>
    <n v="0.6071428571428571"/>
  </r>
  <r>
    <x v="2"/>
    <s v="Temecula Valley Chamber- June Chamber Brief "/>
    <d v="2024-06-12T00:00:00"/>
    <s v="Networking "/>
    <n v="10"/>
    <n v="28"/>
    <m/>
    <s v="Jennifer Contreras "/>
    <m/>
    <n v="0.35714285714285715"/>
  </r>
  <r>
    <x v="2"/>
    <s v="Chino Valley Chamber of Commerce"/>
    <d v="2024-02-22T00:00:00"/>
    <s v="Networking "/>
    <n v="40"/>
    <n v="30"/>
    <s v="Great turn out for this event and made several new connections"/>
    <s v="Paredez, Emily "/>
    <m/>
    <n v="1.3333333333333333"/>
  </r>
  <r>
    <x v="2"/>
    <s v="Yorba Linda Chamber Networking Lunch"/>
    <d v="2025-02-18T00:00:00"/>
    <s v="Networking"/>
    <n v="35"/>
    <n v="30"/>
    <m/>
    <s v="Connie Royal"/>
    <s v="Yorba Linda"/>
    <n v="1.1666666666666667"/>
  </r>
  <r>
    <x v="2"/>
    <s v="San DImas Chamber Coffee Hour"/>
    <d v="2026-04-11T00:00:00"/>
    <s v="Networking"/>
    <n v="30"/>
    <n v="30"/>
    <s v="Good turn out for this chamber. This event had good connections and opportunities to present. "/>
    <s v="Paredez, Emily"/>
    <s v="Ontario"/>
    <n v="1"/>
  </r>
  <r>
    <x v="2"/>
    <s v="Placentia Chamber Power Networking Lunch"/>
    <d v="2025-09-12T00:00:00"/>
    <s v="Networking"/>
    <n v="30"/>
    <n v="30"/>
    <m/>
    <s v="Connie Royal"/>
    <s v="Placentia"/>
    <n v="1"/>
  </r>
  <r>
    <x v="2"/>
    <s v="Placentia Chamber Lunch Mob"/>
    <d v="2025-08-15T00:00:00"/>
    <s v="Networking"/>
    <n v="30"/>
    <n v="30"/>
    <m/>
    <s v="Connie Royal"/>
    <s v="Placentia"/>
    <n v="1"/>
  </r>
  <r>
    <x v="2"/>
    <s v="Placentia Chamber Power Networking Lunch"/>
    <d v="2025-07-11T00:00:00"/>
    <s v="Networking"/>
    <n v="30"/>
    <n v="30"/>
    <m/>
    <s v="Connie Royal"/>
    <s v="Placentia"/>
    <n v="1"/>
  </r>
  <r>
    <x v="2"/>
    <s v="Glendora Monthly Luncheon"/>
    <d v="2025-05-08T00:00:00"/>
    <s v="Networking "/>
    <n v="30"/>
    <n v="30"/>
    <m/>
    <s v="Emily paredez and Sadie Gribbon"/>
    <s v="Glendora"/>
    <n v="1"/>
  </r>
  <r>
    <x v="2"/>
    <s v="Good Morning Anaheim"/>
    <d v="2025-05-01T00:00:00"/>
    <s v="Networking"/>
    <n v="30"/>
    <n v="30"/>
    <m/>
    <s v="Sadie Gribbon"/>
    <s v="Anaheim"/>
    <n v="1"/>
  </r>
  <r>
    <x v="2"/>
    <s v="La Habra Chamber of Commerce Connect Up"/>
    <d v="2025-04-03T00:00:00"/>
    <s v="Networking"/>
    <n v="30"/>
    <n v="30"/>
    <m/>
    <s v="Connie Royal"/>
    <s v="La Habra"/>
    <n v="1"/>
  </r>
  <r>
    <x v="2"/>
    <s v="Jurupa Valley Chamber- Business Networking Luncheon"/>
    <d v="2025-03-13T00:00:00"/>
    <s v="Networking"/>
    <n v="30"/>
    <n v="30"/>
    <m/>
    <s v="Jennifer Contreras"/>
    <s v="Jurupa Valley"/>
    <n v="1"/>
  </r>
  <r>
    <x v="2"/>
    <s v="San dimas chamber/ women in business connections"/>
    <d v="2025-02-25T00:00:00"/>
    <s v=" Networking"/>
    <n v="30"/>
    <n v="30"/>
    <m/>
    <s v="Emily Paredez"/>
    <s v="San Dimas"/>
    <n v="1"/>
  </r>
  <r>
    <x v="2"/>
    <s v="Placentia Chamber Power Networking Lunch"/>
    <d v="2025-02-14T00:00:00"/>
    <s v="Networking"/>
    <n v="30"/>
    <n v="30"/>
    <s v="They always offer a 1-minute commercial which is a great opp to pitch the latest ONT news"/>
    <s v="Connie Royal"/>
    <s v="Placentia"/>
    <n v="1"/>
  </r>
  <r>
    <x v="2"/>
    <s v="Glendora Chamber Monthly luncheon"/>
    <d v="2024-11-14T00:00:00"/>
    <s v="Networking "/>
    <n v="30"/>
    <n v="30"/>
    <m/>
    <s v="Paredez, Emily "/>
    <s v="Glendora"/>
    <n v="1"/>
  </r>
  <r>
    <x v="2"/>
    <s v="Anaheim Leads Lunch"/>
    <d v="2024-11-13T00:00:00"/>
    <s v="Networking"/>
    <n v="30"/>
    <n v="30"/>
    <m/>
    <s v="Sadie Gribbon"/>
    <s v="Anaheim"/>
    <n v="1"/>
  </r>
  <r>
    <x v="2"/>
    <s v="Temecula Valley Young Professionals Luncheon"/>
    <d v="2024-11-08T00:00:00"/>
    <s v="Networking "/>
    <n v="30"/>
    <n v="30"/>
    <m/>
    <s v="Jennifer Contreras "/>
    <s v="Temecula"/>
    <n v="1"/>
  </r>
  <r>
    <x v="2"/>
    <s v="Glendora Chamber Womens Event"/>
    <d v="2024-10-28T00:00:00"/>
    <s v="Networking"/>
    <n v="30"/>
    <n v="30"/>
    <s v="great networking opportunities but can sometimes be dragged out"/>
    <s v="Paredez, Emily"/>
    <s v="Glendora"/>
    <n v="1"/>
  </r>
  <r>
    <x v="2"/>
    <s v="Good Morning Anaheim"/>
    <d v="2024-10-04T00:00:00"/>
    <s v="Networking "/>
    <n v="30"/>
    <n v="30"/>
    <s v="Always an opportunity to speak in front of the entire group, new people at each breakfast and an informal setting which allows for a lot of networking."/>
    <m/>
    <s v="Anaheim"/>
    <n v="1"/>
  </r>
  <r>
    <x v="2"/>
    <s v="women in business connections  "/>
    <d v="2024-09-30T00:00:00"/>
    <s v="Networking "/>
    <n v="30"/>
    <n v="30"/>
    <m/>
    <s v="Paredez, Emily "/>
    <s v="Glendora"/>
    <n v="1"/>
  </r>
  <r>
    <x v="2"/>
    <s v="LA Chamber Travel, Tourism, and Sports Council Meeting"/>
    <d v="2024-09-25T00:00:00"/>
    <s v="Networking "/>
    <n v="30"/>
    <n v="30"/>
    <s v="This zoom meeting had a good turn out for its second ever meeting. I think it's a great group to be a part of to get to know travel planners and what will be going on for the Olympics and World Cup."/>
    <s v="Jordie Annen"/>
    <s v="Los Angeles"/>
    <n v="1"/>
  </r>
  <r>
    <x v="2"/>
    <s v="CVLC Chino Community Theatre Event"/>
    <d v="2024-09-14T00:00:00"/>
    <s v="Volunteering"/>
    <n v="30"/>
    <n v="30"/>
    <s v="one of the five that volunteered to help, unorganized ending to collaborative"/>
    <s v="Paredez, Emily "/>
    <s v="Chino Valley"/>
    <n v="1"/>
  </r>
  <r>
    <x v="2"/>
    <s v="Temecula Valley Chamber Young Professionals Luncheon "/>
    <d v="2024-09-13T00:00:00"/>
    <s v="Networking "/>
    <n v="30"/>
    <n v="30"/>
    <s v="Great event to build relationships and build connections "/>
    <s v="Jennifer Contreras "/>
    <s v="Temecula"/>
    <n v="1"/>
  </r>
  <r>
    <x v="2"/>
    <s v="Diamond Bar CEO Lunch Mob"/>
    <d v="2024-09-05T00:00:00"/>
    <s v="Networking"/>
    <n v="30"/>
    <n v="30"/>
    <s v="Awesome turnout! This was my first time at the lunch mob and I'll definitely be returning for the next ones. Great networking opporunities!!"/>
    <s v="Connie Royal"/>
    <s v="Diamond Bar"/>
    <n v="1"/>
  </r>
  <r>
    <x v="2"/>
    <s v="Glendora Chamber networking event"/>
    <d v="2024-08-30T00:00:00"/>
    <s v="Networking "/>
    <n v="30"/>
    <n v="30"/>
    <m/>
    <s v="Paredez, Emily "/>
    <s v="Glendora"/>
    <n v="1"/>
  </r>
  <r>
    <x v="2"/>
    <s v="Chino Valley Leadership Collaborative "/>
    <d v="2024-08-16T00:00:00"/>
    <s v="Networking"/>
    <n v="30"/>
    <n v="30"/>
    <s v="Toured Chaffey College Community Center, the culinary arts program, had an introduction from the dean, and heard from small businesses"/>
    <s v="Paredez, Emily "/>
    <s v="Chino Valley"/>
    <n v="1"/>
  </r>
  <r>
    <x v="2"/>
    <s v="eastvale chamber of commerce Mixer"/>
    <d v="2024-08-15T00:00:00"/>
    <s v="Networking "/>
    <n v="30"/>
    <n v="30"/>
    <s v="chamber breakfast had a good turn out and we were all able to do a round table introduction."/>
    <s v="Paredez, Emily "/>
    <s v="Eastvale"/>
    <n v="1"/>
  </r>
  <r>
    <x v="2"/>
    <s v="Glendora chamber luncheon"/>
    <d v="2024-08-08T00:00:00"/>
    <s v="Networking "/>
    <n v="30"/>
    <n v="30"/>
    <s v="great turn out and gives good opportunities to speak"/>
    <s v="Paredez, Emily "/>
    <s v="Glendora"/>
    <n v="1"/>
  </r>
  <r>
    <x v="2"/>
    <s v="Yorba Linda Chamber of Commerce Luncheon"/>
    <d v="2024-08-06T00:00:00"/>
    <s v="Networking"/>
    <n v="30"/>
    <n v="30"/>
    <s v="Always about the same size of people. I LOVE this Chamber. They are very warm and welcoming, I love the format of the meetings, and I truly feel like I am making progress with convincing people to use ONT over John Wayne!"/>
    <s v="Connie Royal"/>
    <s v="Yorba Linda"/>
    <n v="1"/>
  </r>
  <r>
    <x v="2"/>
    <s v="Yorba Linda Chamber of Commerce Luncheon"/>
    <d v="2024-07-30T00:00:00"/>
    <s v="Networking"/>
    <n v="30"/>
    <n v="30"/>
    <s v="Always a big group and very engaging. We are able to give a :30 commercial and I can tell on people's faces they are pleased to have me there and anxious to ask questions."/>
    <s v="Connie Royal"/>
    <s v="Yorba Linda"/>
    <n v="1"/>
  </r>
  <r>
    <x v="2"/>
    <s v="Chino Valley leadership Collaborative"/>
    <d v="2024-07-12T00:00:00"/>
    <s v="Networking "/>
    <n v="30"/>
    <n v="30"/>
    <s v="Toured different businesses in Pomona and got to catch up with the Pomona chamber CEO"/>
    <s v="Paredez, Emily "/>
    <s v="Chino Valley"/>
    <n v="1"/>
  </r>
  <r>
    <x v="2"/>
    <s v="Coffee Connections Grand Terrace"/>
    <d v="2024-07-10T00:00:00"/>
    <s v="Networking "/>
    <n v="30"/>
    <n v="30"/>
    <s v="The Chamber event was really nice, I was able to do an announcement about MCM (last day to sign up.) A few people came up to me to get the information after. "/>
    <s v="Jordie Annen"/>
    <s v="Grand Terrace"/>
    <n v="1"/>
  </r>
  <r>
    <x v="2"/>
    <s v="B@B Chino Valley Chamber"/>
    <d v="2024-07-03T00:00:00"/>
    <s v="Networking "/>
    <n v="30"/>
    <n v="30"/>
    <s v="Always a great turn out at this event and easy way to network"/>
    <s v="Paredez, Emily "/>
    <s v="Chino Valley"/>
    <n v="1"/>
  </r>
  <r>
    <x v="2"/>
    <s v="Montclair Chamber Breakfast"/>
    <d v="2024-06-13T00:00:00"/>
    <s v="Networking "/>
    <n v="30"/>
    <n v="30"/>
    <s v="Good  turn out! We all introduced ourselves before we started. I will be presenting at the next one."/>
    <s v="Jordie Salvador"/>
    <m/>
    <n v="1"/>
  </r>
  <r>
    <x v="2"/>
    <s v="Chino Valley Leadership Collaborative"/>
    <d v="2024-05-03T00:00:00"/>
    <s v="Networking "/>
    <n v="30"/>
    <n v="30"/>
    <s v="Toured two local businesses in Chino, working on the CVLC Community Good Project, and heard from So Cal Edison with extensive information"/>
    <s v="Paredez, Emily"/>
    <m/>
    <n v="1"/>
  </r>
  <r>
    <x v="2"/>
    <s v="WIBC San Dimas Chamber"/>
    <d v="2024-02-27T00:00:00"/>
    <s v="Networking "/>
    <n v="30"/>
    <n v="30"/>
    <s v="Always very well attended and made some great connections"/>
    <s v="Paredez, Emily "/>
    <m/>
    <n v="1"/>
  </r>
  <r>
    <x v="2"/>
    <s v="Yorba Linda Chamber Network Connection Luncheon"/>
    <d v="2024-01-23T00:00:00"/>
    <s v="Networking"/>
    <n v="30"/>
    <n v="30"/>
    <s v="There is always an opportunity for speak and introduce yourself. "/>
    <s v="Jenny Contreras "/>
    <m/>
    <n v="1"/>
  </r>
  <r>
    <x v="2"/>
    <s v="Norco Chamber Business Breakfast Roundtable"/>
    <d v="2024-01-17T00:00:00"/>
    <s v="Networking"/>
    <n v="30"/>
    <n v="30"/>
    <s v="Smaller crowd, but they are happy to have our support. "/>
    <s v="Jenny Contreras "/>
    <m/>
    <n v="1"/>
  </r>
  <r>
    <x v="2"/>
    <s v="San Dimas Chamber Coffee Hour"/>
    <d v="2024-01-09T00:00:00"/>
    <s v="Networking"/>
    <n v="30"/>
    <n v="30"/>
    <s v="great turn out and always get an opportunity to speak here. This chamber did a great job advertising the 5K"/>
    <s v="Paredez, Emily "/>
    <m/>
    <n v="1"/>
  </r>
  <r>
    <x v="2"/>
    <s v="Chino Valley leadership Collaborative"/>
    <d v="2024-01-05T00:00:00"/>
    <s v="Networking"/>
    <n v="30"/>
    <n v="30"/>
    <s v="Toured CIW and CIM. Such eye opening experiences"/>
    <s v="Paredez, Emily "/>
    <m/>
    <n v="1"/>
  </r>
  <r>
    <x v="2"/>
    <s v="San Dimas Chamber Women in Business Conections"/>
    <d v="2023-11-14T00:00:00"/>
    <s v="Networking "/>
    <n v="30"/>
    <n v="30"/>
    <s v="This group is growing and there is lots of opportunities to give updates about ONT."/>
    <s v="Contreras, Jennifer "/>
    <s v="Ontario"/>
    <n v="1"/>
  </r>
  <r>
    <x v="2"/>
    <s v="San Dimas Chamber "/>
    <d v="2023-07-11T00:00:00"/>
    <s v="Networking "/>
    <n v="30"/>
    <n v="30"/>
    <s v="Great attendance almost need a bigger location. Great connections including some city officials. Always have good speaking opportunities."/>
    <s v="Paredez, Emily "/>
    <s v="Ontario"/>
    <n v="1"/>
  </r>
  <r>
    <x v="2"/>
    <s v="Chino Valley Chamber B@B"/>
    <d v="2023-06-28T00:00:00"/>
    <s v="Networking "/>
    <n v="30"/>
    <n v="30"/>
    <s v="Surprised about the crowd considering the event was not on their website. Had an opporutnity to share about Sunflower and inform a travel agent on resources we have to help her plan for her travel bookings."/>
    <s v="Paredez, Emily "/>
    <s v="Ontario"/>
    <n v="1"/>
  </r>
  <r>
    <x v="2"/>
    <s v="Arcadia Chamber Networking at Noon"/>
    <d v="2023-06-27T00:00:00"/>
    <s v="Networking "/>
    <n v="30"/>
    <n v="30"/>
    <s v="Bigger crowd this time and very active chamber. They mentioned they have 8 events coming up in July"/>
    <s v="Paredez, Emily "/>
    <s v="Ontario"/>
    <n v="1"/>
  </r>
  <r>
    <x v="2"/>
    <s v="SD Women in Business Connections"/>
    <d v="2023-06-20T00:00:00"/>
    <s v="Networking "/>
    <n v="30"/>
    <n v="30"/>
    <s v="This group is growing and lots of opportunity to speak. Spoke about the sunflower program and a real engaged audience."/>
    <s v="Paredez, Emily "/>
    <s v="Ontario"/>
    <n v="1"/>
  </r>
  <r>
    <x v="2"/>
    <s v="Eastvale Chamber of Commerce "/>
    <d v="2023-06-15T00:00:00"/>
    <s v="Networking "/>
    <n v="30"/>
    <n v="30"/>
    <s v="Bigger crowd and always get some sort of speaking opportunity at this chamber. Great connections and ties with other chambers as well "/>
    <s v="Paredez, Emily "/>
    <s v="Ontario"/>
    <n v="1"/>
  </r>
  <r>
    <x v="2"/>
    <s v="San Dimas Chamber  "/>
    <d v="2023-04-18T00:00:00"/>
    <s v="Networking"/>
    <n v="30"/>
    <n v="30"/>
    <s v="Small crowd but got two opportunities to speak and talk about upcoming events for ONT"/>
    <s v="Paredez, Emily "/>
    <s v="Ontario"/>
    <n v="1"/>
  </r>
  <r>
    <x v="2"/>
    <s v="Business @ Breakfast Chino Valley"/>
    <d v="2023-03-15T00:00:00"/>
    <s v="Networking"/>
    <n v="30"/>
    <n v="30"/>
    <s v="Decent turn out for a morning event. I am looking to present at a future B@B to spread info about ONT specifically in Chino and Pomona. "/>
    <s v="Paredez, Emily "/>
    <s v="Ontario"/>
    <n v="1"/>
  </r>
  <r>
    <x v="2"/>
    <s v="Fontana Monthly Membership Luncheon"/>
    <d v="2023-02-09T00:00:00"/>
    <s v="Networking "/>
    <n v="30"/>
    <n v="30"/>
    <s v="Very active chamber, public speaking opportunity, and have connections from several areas"/>
    <s v="Paredez,Emily"/>
    <s v="Ontario"/>
    <n v="1"/>
  </r>
  <r>
    <x v="2"/>
    <s v="Yorba Linda Lunch Mixer"/>
    <d v="2022-01-18T00:00:00"/>
    <s v="Network, Multi-Chamber Mixer"/>
    <n v="30"/>
    <n v="30"/>
    <s v="Was given an opportunity to introduce myself, briefly go over airport updates and invite attendees to the mixer"/>
    <s v="Priscilla"/>
    <s v="Ontario"/>
    <n v="1"/>
  </r>
  <r>
    <x v="2"/>
    <s v="RC Chamber Breakfast"/>
    <d v="2021-10-07T00:00:00"/>
    <s v="ONT Presentation"/>
    <n v="30"/>
    <n v="30"/>
    <s v="Good engagement/presentation"/>
    <s v="Steph"/>
    <s v="Ontario"/>
    <n v="1"/>
  </r>
  <r>
    <x v="2"/>
    <s v="Women in business connections"/>
    <d v="2024-08-27T00:00:00"/>
    <s v="Networking "/>
    <n v="25"/>
    <n v="30"/>
    <m/>
    <s v="Paredez, Emily "/>
    <s v="San Dimas"/>
    <n v="0.83333333333333337"/>
  </r>
  <r>
    <x v="2"/>
    <s v="Chino Valley Chamber of Commerce"/>
    <d v="2024-12-18T00:00:00"/>
    <s v="Networking "/>
    <n v="20"/>
    <n v="30"/>
    <s v="always a great turnout and new connections arriving to this event"/>
    <s v="Paredez, Emily "/>
    <s v="Chino Valley"/>
    <n v="0.66666666666666663"/>
  </r>
  <r>
    <x v="2"/>
    <s v="Riverside Chamber Business in Action "/>
    <d v="2024-11-20T00:00:00"/>
    <s v="Networking"/>
    <n v="20"/>
    <n v="30"/>
    <m/>
    <s v="Jennifer Contreras "/>
    <s v="Riverside"/>
    <n v="0.66666666666666663"/>
  </r>
  <r>
    <x v="2"/>
    <s v="Claremont Chamber New Member Reception"/>
    <d v="2022-09-08T00:00:00"/>
    <s v="Network"/>
    <n v="20"/>
    <n v="30"/>
    <s v="Spoke about ONT to group"/>
    <s v="Steph"/>
    <s v="Ontario"/>
    <n v="0.66666666666666663"/>
  </r>
  <r>
    <x v="2"/>
    <s v="Chino Valley B@B eent"/>
    <d v="2025-04-16T00:00:00"/>
    <s v="Networking "/>
    <n v="15"/>
    <n v="30"/>
    <m/>
    <s v="Emily Paredez"/>
    <s v="Chino Valley"/>
    <n v="0.5"/>
  </r>
  <r>
    <x v="2"/>
    <s v="Upland Chamber of Commerce"/>
    <d v="2024-04-18T00:00:00"/>
    <s v="Networking "/>
    <n v="15"/>
    <n v="30"/>
    <s v="Great opportunity to meet people in this chamber. It was my second event and everyone was very friendly!"/>
    <m/>
    <m/>
    <n v="0.5"/>
  </r>
  <r>
    <x v="2"/>
    <s v="San Dimas Valentine's Day Mixer"/>
    <d v="2023-02-14T00:00:00"/>
    <s v="Networking "/>
    <n v="15"/>
    <n v="30"/>
    <s v="Small turnout but are very supportive and had great connections"/>
    <s v="Rehmani, Ain "/>
    <s v="Ontario"/>
    <n v="0.5"/>
  </r>
  <r>
    <x v="2"/>
    <s v="Redlands Chamber Happy Hour"/>
    <d v="2023-01-19T00:00:00"/>
    <s v="Networking"/>
    <n v="15"/>
    <n v="30"/>
    <s v="Great engagement, Redlands increased their membership by 105 last year and since the start of the new year 23 have joined. Working with Evan for potential sponsorship opportunities. Questions mostly about my role and how I can be a resource for them. Also there were some people who were at the 5k and the previous Multi-Chamber Mixer and wanted to know the upcoming dates for these events. Evan made a note to say, San Bernardino Airport does not come to their events so he was very happy to have us there. "/>
    <s v="Rehmani, Ain"/>
    <s v="Ontario"/>
    <n v="0.5"/>
  </r>
  <r>
    <x v="2"/>
    <s v="Good Morning Ontario"/>
    <d v="2023-01-04T00:00:00"/>
    <s v="Networking/Supporting Elisa as Presenter"/>
    <n v="15"/>
    <n v="30"/>
    <s v="Attended to support Elisa as the presenter; light attendance but good connections"/>
    <m/>
    <s v="Ontario"/>
    <n v="0.5"/>
  </r>
  <r>
    <x v="2"/>
    <s v="Coffee with the City of Murrieta "/>
    <d v="2024-08-27T00:00:00"/>
    <s v="Networking"/>
    <n v="12"/>
    <n v="30"/>
    <m/>
    <s v="Jennifer Contreras "/>
    <s v="murrieta"/>
    <n v="0.4"/>
  </r>
  <r>
    <x v="2"/>
    <s v="Tasty Tuesday San Gabriel"/>
    <d v="2024-06-11T00:00:00"/>
    <s v="Networking "/>
    <n v="12"/>
    <n v="30"/>
    <s v="Smaller turnout than usual, some new faces and some familiar. Mayor is always in attendance to these lunches."/>
    <s v="Sadie Gribbon"/>
    <m/>
    <n v="0.4"/>
  </r>
  <r>
    <x v="2"/>
    <s v="Murrieta/Wildomar Chamber- Coffee with the City of Wildomar "/>
    <d v="2024-06-11T00:00:00"/>
    <s v="Networking "/>
    <n v="12"/>
    <n v="30"/>
    <s v="Smaller event but high community participation "/>
    <s v="Jennifer Contreras "/>
    <m/>
    <n v="0.4"/>
  </r>
  <r>
    <x v="2"/>
    <s v="OPARC Chamber Mixer"/>
    <d v="2025-09-26T00:00:00"/>
    <s v="Networking"/>
    <n v="10"/>
    <n v="30"/>
    <m/>
    <s v="Sadie Gribbon"/>
    <s v="Claremont"/>
    <n v="0.33333333333333331"/>
  </r>
  <r>
    <x v="2"/>
    <s v="Fontana Chamber Business Networking"/>
    <d v="2025-09-19T00:00:00"/>
    <s v="Networking "/>
    <n v="10"/>
    <n v="30"/>
    <m/>
    <s v="Emily Paredez"/>
    <s v="Fontana"/>
    <n v="0.33333333333333331"/>
  </r>
  <r>
    <x v="2"/>
    <s v="Covina Chamber Breakfast Club"/>
    <d v="2025-06-04T00:00:00"/>
    <s v="Networking "/>
    <n v="10"/>
    <n v="30"/>
    <m/>
    <s v="Connie Royal"/>
    <s v="Covina"/>
    <n v="0.33333333333333331"/>
  </r>
  <r>
    <x v="2"/>
    <s v="Greater Riverside Chamber- Inside Downtown "/>
    <d v="2024-10-03T00:00:00"/>
    <s v="Networking"/>
    <n v="10"/>
    <n v="30"/>
    <m/>
    <s v="Jennifer Contreras "/>
    <s v="Greater High Desert"/>
    <n v="0.33333333333333331"/>
  </r>
  <r>
    <x v="2"/>
    <s v="Moreno Valley Business in Action"/>
    <d v="2024-05-01T00:00:00"/>
    <s v="Networking "/>
    <n v="10"/>
    <n v="30"/>
    <s v="This event is a small-scale chamber breakfast with a presenter and it is less formal than MoVal's typical chamber breakfast. Great opoprutnity to get to know community members deeper, opportunity to have a 30 second spotlight at every meeting and was asked to come back and be a presenter so all in all a great event and alternative if the monthly breakfast is not an option that month due to scheduling. "/>
    <s v="Sadie Gribbon"/>
    <m/>
    <n v="0.33333333333333331"/>
  </r>
  <r>
    <x v="2"/>
    <s v="Claremont Chamber Lunch n Learn"/>
    <d v="2022-06-22T00:00:00"/>
    <s v="Network"/>
    <n v="10"/>
    <n v="30"/>
    <s v="Good opportunity to network"/>
    <s v="Steph"/>
    <s v="Ontario"/>
    <n v="0.33333333333333331"/>
  </r>
  <r>
    <x v="2"/>
    <s v="Chino Valley Chamber CVLV"/>
    <d v="2023-08-23T00:00:00"/>
    <s v="Networking "/>
    <n v="8"/>
    <n v="30"/>
    <s v="Graduating class from Leadership Collaborative. Mentions that they would like to have ONT tour again next year for this group."/>
    <s v="Paredez, Emily "/>
    <s v="Ontario"/>
    <n v="0.26666666666666666"/>
  </r>
  <r>
    <x v="2"/>
    <s v="Fontana Chamber Business Network Meeting"/>
    <d v="2024-10-18T00:00:00"/>
    <s v="Networking"/>
    <n v="7"/>
    <n v="30"/>
    <m/>
    <m/>
    <s v="Fontana"/>
    <n v="0.23333333333333334"/>
  </r>
  <r>
    <x v="2"/>
    <s v="    "/>
    <d v="2023-01-19T00:00:00"/>
    <s v="Networking"/>
    <n v="7"/>
    <n v="30"/>
    <s v="Bad turn out due to the weather, but great connections! Several questions about dates for our Multi-Chamber Mixer."/>
    <s v="Paredez, Emily "/>
    <s v="Ontario"/>
    <n v="0.23333333333333334"/>
  </r>
  <r>
    <x v="2"/>
    <s v="Yorba Linda Chamber Lunch Mob"/>
    <d v="2024-11-12T00:00:00"/>
    <s v="Networking"/>
    <n v="6"/>
    <n v="30"/>
    <m/>
    <s v="Connie Royal"/>
    <s v="Yorba Linda"/>
    <n v="0.2"/>
  </r>
  <r>
    <x v="2"/>
    <s v="Fontana Chamber Networking at Noon"/>
    <d v="2024-10-22T00:00:00"/>
    <s v="Networking "/>
    <n v="6"/>
    <n v="30"/>
    <m/>
    <m/>
    <s v="Fontana"/>
    <n v="0.2"/>
  </r>
  <r>
    <x v="2"/>
    <s v="Fontana Chamber Business Networking"/>
    <d v="2025-09-19T00:00:00"/>
    <s v="Networking"/>
    <n v="5"/>
    <n v="30"/>
    <m/>
    <s v="Juleen Erives"/>
    <s v="Fontana"/>
    <n v="0.16666666666666666"/>
  </r>
  <r>
    <x v="2"/>
    <s v="Connect in Covina"/>
    <d v="2024-05-21T00:00:00"/>
    <s v="Networking"/>
    <n v="5"/>
    <n v="30"/>
    <s v="This chamber doesn't meet very often, but like the last chamber event I attended, it was well attended and people are very engaged."/>
    <s v="Connie Royal"/>
    <m/>
    <n v="0.16666666666666666"/>
  </r>
  <r>
    <x v="2"/>
    <s v="Norco Chamber Networking Breakfast"/>
    <d v="2024-04-17T00:00:00"/>
    <s v="Networking "/>
    <n v="5"/>
    <n v="30"/>
    <s v="Small gathering, event went on too long to do a 30 second speech. Major and City Manager were present."/>
    <s v="Jordie Salvador"/>
    <m/>
    <n v="0.16666666666666666"/>
  </r>
  <r>
    <x v="2"/>
    <s v="Eastvale Chamber of Commerce - Mixer"/>
    <d v="2023-12-07T00:00:00"/>
    <s v="Networking "/>
    <n v="5"/>
    <n v="30"/>
    <s v="This event is based around the program and the speaker took a long time this time. Still a good event to prioritize"/>
    <s v="Paredez, Emily "/>
    <s v="Ontario"/>
    <n v="0.16666666666666666"/>
  </r>
  <r>
    <x v="2"/>
    <s v="Fontana Monthly Membership Luncheon"/>
    <d v="2023-10-12T00:00:00"/>
    <s v="Networking "/>
    <n v="5"/>
    <n v="30"/>
    <s v="Limited networking time here as well, but still got the opportunity to chat with some new connections"/>
    <s v="Paredez, Emily "/>
    <s v="Ontario"/>
    <n v="0.16666666666666666"/>
  </r>
  <r>
    <x v="2"/>
    <s v="Riverside Chamber of Commerce- Business in Action Meeting "/>
    <d v="2025-03-19T00:00:00"/>
    <s v="Networking"/>
    <n v="32"/>
    <n v="32"/>
    <m/>
    <s v="Jennifer Contreras"/>
    <s v="Riverside"/>
    <n v="1"/>
  </r>
  <r>
    <x v="2"/>
    <s v="Eastvale Chamber After Hours Mixer "/>
    <d v="2025-10-16T00:00:00"/>
    <s v="Networking"/>
    <n v="33"/>
    <n v="33"/>
    <m/>
    <s v="Juleen Erives and Emily Paredez "/>
    <s v="Eastvale"/>
    <n v="1"/>
  </r>
  <r>
    <x v="2"/>
    <s v="Yorba Linda Lunch Mob"/>
    <d v="2025-09-09T00:00:00"/>
    <s v="Networking"/>
    <n v="35"/>
    <n v="35"/>
    <s v="Huge turnout at this lunch mob; got lucky, since it was a big turnout they decided to let everyone go around and have a 30 second commercial"/>
    <s v="Connie Royal"/>
    <s v="Yorba Linda"/>
    <n v="1"/>
  </r>
  <r>
    <x v="2"/>
    <s v="Yorba Linda Chamber Networking Lunch"/>
    <d v="2025-07-15T00:00:00"/>
    <s v="Networking"/>
    <n v="35"/>
    <n v="35"/>
    <m/>
    <s v="Connie Royal"/>
    <s v="Yorba Linda"/>
    <n v="1"/>
  </r>
  <r>
    <x v="2"/>
    <s v="Good Morning Anaheim"/>
    <d v="2025-06-13T00:00:00"/>
    <s v="Networking "/>
    <n v="35"/>
    <n v="35"/>
    <m/>
    <s v="Sadie Gribbon"/>
    <s v="Anaheim"/>
    <n v="1"/>
  </r>
  <r>
    <x v="2"/>
    <s v="Jurupa Valley Chamber- Business Networking Luncheon"/>
    <d v="2025-05-08T00:00:00"/>
    <s v="Networking "/>
    <n v="35"/>
    <n v="35"/>
    <m/>
    <s v="Jennifer Contreras"/>
    <s v="Jurupa Valley"/>
    <n v="1"/>
  </r>
  <r>
    <x v="2"/>
    <s v="Yorba Linda Chamber Networking Lunch"/>
    <d v="2025-05-06T00:00:00"/>
    <s v="Networking"/>
    <n v="35"/>
    <n v="35"/>
    <m/>
    <s v="Connie Royal"/>
    <s v="Yorba Linda"/>
    <n v="1"/>
  </r>
  <r>
    <x v="2"/>
    <s v="Jurupa Valley Chamber- Business Networking Luncheon "/>
    <d v="2025-04-10T00:00:00"/>
    <s v="Networking "/>
    <n v="35"/>
    <n v="35"/>
    <m/>
    <s v="Jennifer Contreras"/>
    <s v="Jurupa Valley"/>
    <n v="1"/>
  </r>
  <r>
    <x v="2"/>
    <s v="Yorba Linda Chamber Networking Lunch"/>
    <d v="2025-04-01T00:00:00"/>
    <s v="Networking"/>
    <n v="35"/>
    <n v="35"/>
    <m/>
    <s v="Connie Royal"/>
    <s v="Yorba Linda"/>
    <n v="1"/>
  </r>
  <r>
    <x v="2"/>
    <s v="Yorba Linda Chamber Networking Lunch"/>
    <d v="2025-03-25T00:00:00"/>
    <s v="Networking"/>
    <n v="35"/>
    <n v="35"/>
    <m/>
    <s v="Connie Royal"/>
    <s v="Yorba Linda"/>
    <n v="1"/>
  </r>
  <r>
    <x v="2"/>
    <s v="Yorba Linda Chamber Networking Lunch"/>
    <d v="2025-01-28T00:00:00"/>
    <s v="Networking"/>
    <n v="35"/>
    <n v="35"/>
    <m/>
    <s v="Connie Royal"/>
    <s v="Yorba Linda"/>
    <n v="1"/>
  </r>
  <r>
    <x v="2"/>
    <s v="Business and Breakfast Chino Valley"/>
    <d v="2024-10-16T00:00:00"/>
    <s v="Presenting"/>
    <n v="35"/>
    <n v="35"/>
    <s v="grateful that the chamber allowed us an opportunity to speak together"/>
    <s v="Paredez, Emily "/>
    <s v="Chino Valley"/>
    <n v="1"/>
  </r>
  <r>
    <x v="2"/>
    <s v="Pomona Chamber of Commerce"/>
    <d v="2024-10-09T00:00:00"/>
    <s v="Networking "/>
    <n v="35"/>
    <n v="35"/>
    <s v="decent turn out but lots of time to speak"/>
    <s v="Paredez, Emily "/>
    <s v="Pomona"/>
    <n v="1"/>
  </r>
  <r>
    <x v="2"/>
    <s v="Greater High Desert Chamber Coffee Break "/>
    <d v="2024-10-04T00:00:00"/>
    <s v="Networking "/>
    <n v="35"/>
    <n v="35"/>
    <s v="Well attended event and everyone gets time for a commercial "/>
    <s v="Jennifer Contreras "/>
    <s v="Greater High Desert"/>
    <n v="1"/>
  </r>
  <r>
    <x v="2"/>
    <s v="Monrovia Coffee Social"/>
    <d v="2024-07-02T00:00:00"/>
    <s v="Networking "/>
    <n v="35"/>
    <n v="35"/>
    <s v="Good turnout, first time attending a Monrovia event. Had a minute to speak about ONT and the MCM in front of the entire group and made a lot of great connections. Did not see anyone from Arcadia chamber which is something to keep in mind. Mayor was in attendance and was interested in coming to MCM - sent individual invite to her."/>
    <s v="Sadie Gribbon"/>
    <s v="Monrovia"/>
    <n v="1"/>
  </r>
  <r>
    <x v="2"/>
    <s v="Multi Chamber Mixer - Pomona"/>
    <d v="2024-06-13T00:00:00"/>
    <s v="Networking "/>
    <n v="35"/>
    <n v="35"/>
    <s v="Great turnout and well planned event"/>
    <s v="Paredez, Emily "/>
    <m/>
    <n v="1"/>
  </r>
  <r>
    <x v="2"/>
    <s v="B@B Chino Valley Chamber"/>
    <d v="2024-04-03T00:00:00"/>
    <s v="Networking "/>
    <n v="35"/>
    <n v="35"/>
    <s v="so many great connections here. This event consistently brings in new people to the chamber and helps find ways to connect with new faces"/>
    <s v="Paredez, Emily "/>
    <m/>
    <n v="1"/>
  </r>
  <r>
    <x v="2"/>
    <s v="Pomona Chamber of Commerce Networking at Noon"/>
    <d v="2023-10-11T00:00:00"/>
    <s v="Presenting"/>
    <n v="35"/>
    <n v="35"/>
    <s v="Very good crowd and a lot of people attended to hear about ONT. Great connections and lots of follow ups after the presentation."/>
    <s v="Paredez, Emily "/>
    <s v="Ontario"/>
    <n v="1"/>
  </r>
  <r>
    <x v="2"/>
    <s v="Eastvale Mixer"/>
    <d v="2023-09-21T00:00:00"/>
    <s v="Networking "/>
    <n v="35"/>
    <n v="35"/>
    <s v="Everyone made great comments about ONT and always have great connections here!"/>
    <s v="Paredez, Emily "/>
    <s v="Ontario"/>
    <n v="1"/>
  </r>
  <r>
    <x v="2"/>
    <s v="Eastvale Chamber of Commerce "/>
    <d v="2023-06-01T00:00:00"/>
    <s v="Presenting"/>
    <n v="35"/>
    <n v="35"/>
    <s v="Big crowd for a morning event. The mayor and a city official was there to hear my presentation. I would present here again next year. "/>
    <s v="Paredez, Emily "/>
    <s v="Ontario"/>
    <n v="1"/>
  </r>
  <r>
    <x v="2"/>
    <s v="Fontana Chamber "/>
    <d v="2023-05-19T00:00:00"/>
    <s v="Presenting"/>
    <n v="35"/>
    <n v="35"/>
    <s v="Presented, great reactions from the crowd, lots in attendace and several attending our MCM. Recommend to present next year"/>
    <s v="Paredez, Emily "/>
    <s v="Ontario"/>
    <n v="1"/>
  </r>
  <r>
    <x v="2"/>
    <s v="Chino Valley Chamber B@B"/>
    <d v="2023-04-19T00:00:00"/>
    <s v="Networking "/>
    <n v="35"/>
    <n v="35"/>
    <s v="Always a good crowd and some speaking opportunities. This is an event that always has great connections"/>
    <s v="Paredez, Emily "/>
    <s v="Ontario"/>
    <n v="1"/>
  </r>
  <r>
    <x v="2"/>
    <s v="Chino Breakfast Mixer "/>
    <d v="2025-02-19T00:00:00"/>
    <s v="Networking "/>
    <n v="30"/>
    <n v="35"/>
    <m/>
    <s v="Paredez, Emily"/>
    <s v="Chino Valley"/>
    <n v="0.8571428571428571"/>
  </r>
  <r>
    <x v="2"/>
    <s v="Chino Valley Chamber Mixer"/>
    <d v="2024-04-25T00:00:00"/>
    <s v="Networking "/>
    <n v="25"/>
    <n v="35"/>
    <s v="Great connections in the room and very well planned event."/>
    <s v="Paredez, Emily"/>
    <m/>
    <n v="0.7142857142857143"/>
  </r>
  <r>
    <x v="2"/>
    <s v="The Covina Chamber Breakfast Club"/>
    <d v="2024-03-20T00:00:00"/>
    <s v="Networking "/>
    <n v="25"/>
    <n v="35"/>
    <s v="First time for Connie! Great group of folks who were enthusiastic for early morning! Made great connections. Very happy to have ONT reps there."/>
    <s v="Connie Royal, Emily Paredez"/>
    <m/>
    <n v="0.7142857142857143"/>
  </r>
  <r>
    <x v="2"/>
    <s v="RC Chamber New Member Reception"/>
    <d v="2023-05-26T00:00:00"/>
    <s v="Networking"/>
    <n v="25"/>
    <n v="35"/>
    <s v="Small but good networking "/>
    <s v="Steph"/>
    <s v="Ontario"/>
    <n v="0.7142857142857143"/>
  </r>
  <r>
    <x v="2"/>
    <s v="Claremont Chamber Breakfast"/>
    <d v="2021-10-12T00:00:00"/>
    <s v="Network"/>
    <n v="20"/>
    <n v="35"/>
    <s v="Lower attendance than usual"/>
    <s v="Steph"/>
    <s v="Ontario"/>
    <n v="0.5714285714285714"/>
  </r>
  <r>
    <x v="2"/>
    <s v="After Work Mixer"/>
    <d v="2023-02-15T00:00:00"/>
    <s v="Networking "/>
    <n v="18"/>
    <n v="35"/>
    <s v="Monthly events, good turnout and activity. ONT is their 2nd or 3rd pick of airports. Great conversations. "/>
    <s v="Rehmani, Ain "/>
    <s v="Ontario"/>
    <n v="0.51428571428571423"/>
  </r>
  <r>
    <x v="2"/>
    <s v="San dimas chamber Board installation breakfast"/>
    <d v="2025-06-25T00:00:00"/>
    <s v="Networking "/>
    <n v="15"/>
    <n v="35"/>
    <m/>
    <s v="Paredez, Emily"/>
    <s v="San Dimas"/>
    <n v="0.42857142857142855"/>
  </r>
  <r>
    <x v="2"/>
    <s v="Inside Downtown "/>
    <d v="2024-07-09T00:00:00"/>
    <s v="Networking "/>
    <n v="15"/>
    <n v="35"/>
    <s v="Well attended great place network."/>
    <s v="Jennifer Contreras "/>
    <s v="Riverside"/>
    <n v="0.42857142857142855"/>
  </r>
  <r>
    <x v="2"/>
    <s v="Temecula Chamber- October Chamber Brief "/>
    <d v="2024-10-09T00:00:00"/>
    <s v="Networking"/>
    <n v="12"/>
    <n v="35"/>
    <m/>
    <s v="Jennifer Contreras "/>
    <s v="Temecula"/>
    <n v="0.34285714285714286"/>
  </r>
  <r>
    <x v="2"/>
    <s v="Greater High Desert Chamber- Coffee Morning Break "/>
    <d v="2024-12-06T00:00:00"/>
    <s v="Networking"/>
    <n v="10"/>
    <n v="35"/>
    <s v="Great place to network w/o leaving office. "/>
    <s v="Jennifer Contreras "/>
    <s v="Greater High Desert"/>
    <n v="0.2857142857142857"/>
  </r>
  <r>
    <x v="2"/>
    <s v="Yorba Linda Chamber Network Connection Luncheon"/>
    <d v="2024-09-17T00:00:00"/>
    <s v="Networking"/>
    <n v="10"/>
    <n v="35"/>
    <s v="Always a great chamberÖ very active, lots of networking opportunities and connections."/>
    <s v="Connie Royal"/>
    <s v="Yorba Linda"/>
    <n v="0.2857142857142857"/>
  </r>
  <r>
    <x v="2"/>
    <s v="Menifee Midday Mixer"/>
    <d v="2024-07-24T00:00:00"/>
    <s v="Networking "/>
    <n v="10"/>
    <n v="35"/>
    <s v="Great turnout, have plans to do a vilunteer packing event for MilVet (the sponsor) as it is a great networking opp and also shows our committment to veterans and the community. Met the DMO for Meniffe (Explore Menifee) and have a meeting scheduled soon to see how we can collaborate. Also got some facetime with city council and other business owners, also following up with Habitat for Humanity for their upcoming seasonal events and booth opps (Inland Empire Habitat for Humanity)"/>
    <s v="Sadie Gribbon"/>
    <s v="Menifee"/>
    <n v="0.2857142857142857"/>
  </r>
  <r>
    <x v="2"/>
    <s v="Wake Up Menifee Breakfast"/>
    <d v="2024-04-16T00:00:00"/>
    <s v="Networking"/>
    <n v="10"/>
    <n v="35"/>
    <s v="Fun bunch of people, city council members in attendance. The Director did not give the sponsor an opportunity to talk (forgot) so would inquire about a more formal event to speak at -- potentially a luncheon? Met a lot of business owners and made great connections with kiwanis and women's club memebrs for diversifying events in the city."/>
    <s v="Sadie Gribbon "/>
    <m/>
    <n v="0.2857142857142857"/>
  </r>
  <r>
    <x v="2"/>
    <s v="Yorba Linda Chamber of Commerce Luncheon"/>
    <d v="2024-07-23T00:00:00"/>
    <s v="Networking"/>
    <n v="8"/>
    <n v="35"/>
    <s v="Large group, always a great turnout. I had an opportunity to share information on our parking promo."/>
    <s v="Connie Royal"/>
    <s v="Yorba Linda"/>
    <n v="0.22857142857142856"/>
  </r>
  <r>
    <x v="2"/>
    <s v="Greater High Desert Coffee Break "/>
    <d v="2024-08-09T00:00:00"/>
    <s v="Networking "/>
    <n v="7"/>
    <n v="35"/>
    <s v="Great way to connect with folks w/o having to physically attend event. "/>
    <s v="Jennifer Contreras "/>
    <s v="Greater High Desert"/>
    <n v="0.2"/>
  </r>
  <r>
    <x v="2"/>
    <s v="Greater High Desert Coffee Break Meeting "/>
    <d v="2024-09-06T00:00:00"/>
    <s v="Netwroking "/>
    <n v="6"/>
    <n v="35"/>
    <s v="Creative way to network w/o leaving office"/>
    <s v="Jennifer Contreras "/>
    <s v="Greater High Desert"/>
    <n v="0.17142857142857143"/>
  </r>
  <r>
    <x v="2"/>
    <s v="Placentia Chamber Power Networking Lunch"/>
    <d v="2025-10-24T00:00:00"/>
    <s v="Networking"/>
    <n v="37"/>
    <n v="37"/>
    <m/>
    <s v="Connie Royal"/>
    <s v="Placentia"/>
    <n v="1"/>
  </r>
  <r>
    <x v="2"/>
    <s v="Greater High Desert Chamber- Coffee Break Meeting "/>
    <d v="2025-02-21T00:00:00"/>
    <s v="Networking "/>
    <n v="37"/>
    <n v="37"/>
    <m/>
    <s v="Jennifer Contreras"/>
    <s v="Greater High Desert"/>
    <n v="1"/>
  </r>
  <r>
    <x v="2"/>
    <s v="Jurupa Valley Chamber- Business Networking Luncheon"/>
    <d v="2025-02-13T00:00:00"/>
    <s v="Networking "/>
    <n v="38"/>
    <n v="38"/>
    <m/>
    <s v="Jennifer Contreras"/>
    <s v="Jurupa Valley"/>
    <n v="1"/>
  </r>
  <r>
    <x v="2"/>
    <s v="Jurupa Valley Chamber Networking Meeting "/>
    <d v="2024-09-12T00:00:00"/>
    <s v="Networking "/>
    <n v="38"/>
    <n v="38"/>
    <s v="Event audience keeps expanding for this event. "/>
    <s v="Jennifer Contreras "/>
    <s v="Jurupa Valley"/>
    <n v="1"/>
  </r>
  <r>
    <x v="2"/>
    <s v="La Habra Chamber Connect Up"/>
    <d v="2025-09-11T00:00:00"/>
    <s v="Speaking"/>
    <n v="40"/>
    <n v="40"/>
    <s v="This was the first time the Connect Up was going to be held at the IHOP and I was nervous about the turnout but it ended up being great!"/>
    <s v="Connie Royal"/>
    <s v="La Habra"/>
    <n v="1"/>
  </r>
  <r>
    <x v="2"/>
    <s v="Anaheim Evening Mixer"/>
    <d v="2025-08-27T00:00:00"/>
    <s v="Networking "/>
    <n v="40"/>
    <n v="40"/>
    <m/>
    <s v="Sadie Gribbon"/>
    <s v="Anaheim"/>
    <n v="1"/>
  </r>
  <r>
    <x v="2"/>
    <s v="Yorba Linda Chamber of Commerce Networking Lunch"/>
    <d v="2025-08-26T00:00:00"/>
    <s v="Networking"/>
    <n v="40"/>
    <n v="40"/>
    <m/>
    <s v="Connie Royal"/>
    <s v="Yorba Linda"/>
    <n v="1"/>
  </r>
  <r>
    <x v="2"/>
    <s v="Leads Lunch Anaheim"/>
    <d v="2025-08-13T00:00:00"/>
    <s v="Networking"/>
    <n v="40"/>
    <n v="40"/>
    <m/>
    <s v="Sadie Gribbon"/>
    <s v="Anaheim"/>
    <n v="1"/>
  </r>
  <r>
    <x v="2"/>
    <s v="Good Morning Anaheim"/>
    <d v="2025-07-11T00:00:00"/>
    <s v="Networking "/>
    <n v="40"/>
    <n v="40"/>
    <m/>
    <s v="Sadie Gribbon"/>
    <s v="Anaheim"/>
    <n v="1"/>
  </r>
  <r>
    <x v="2"/>
    <s v="Yorba Linda Chamber Networking Lunch"/>
    <d v="2025-07-01T00:00:00"/>
    <s v="Networking"/>
    <n v="40"/>
    <n v="40"/>
    <m/>
    <s v="Connie Royal"/>
    <s v="Yorba Linda"/>
    <n v="1"/>
  </r>
  <r>
    <x v="2"/>
    <s v="Placentia Chamber Power Networking Lunch"/>
    <d v="2025-06-13T00:00:00"/>
    <s v="Networking "/>
    <n v="40"/>
    <n v="40"/>
    <m/>
    <s v="Connie Royal"/>
    <s v="Placentia"/>
    <n v="1"/>
  </r>
  <r>
    <x v="2"/>
    <s v="*Speaking* Yorba Linda Chamber Networking Lunch"/>
    <d v="2025-02-25T00:00:00"/>
    <s v="Presenting"/>
    <n v="40"/>
    <n v="40"/>
    <m/>
    <s v="Connie Royal"/>
    <s v="Yorba Linda"/>
    <n v="1"/>
  </r>
  <r>
    <x v="2"/>
    <s v="Upland Monthly Chamber Luncheon"/>
    <d v="2025-01-23T00:00:00"/>
    <s v="Networking "/>
    <n v="40"/>
    <n v="40"/>
    <m/>
    <s v="Emily Paredez"/>
    <s v="Upland"/>
    <n v="1"/>
  </r>
  <r>
    <x v="2"/>
    <s v="Business in action "/>
    <d v="2025-01-15T00:00:00"/>
    <s v="Networking "/>
    <n v="40"/>
    <n v="40"/>
    <m/>
    <s v="Jennifer Contreras"/>
    <s v="Riverside"/>
    <n v="1"/>
  </r>
  <r>
    <x v="2"/>
    <s v="Coffee Break Meeting "/>
    <d v="2025-01-10T00:00:00"/>
    <s v="Networking "/>
    <n v="40"/>
    <n v="40"/>
    <m/>
    <s v="Jennifer Contreras"/>
    <s v="Online"/>
    <n v="1"/>
  </r>
  <r>
    <x v="2"/>
    <s v="Greater High Desert Coffee Break Meeting "/>
    <d v="2024-11-08T00:00:00"/>
    <s v="Networking "/>
    <n v="40"/>
    <n v="40"/>
    <s v="Great way to network without leaving the office "/>
    <s v="Jennifer Contreras "/>
    <s v="Greater High Desert"/>
    <n v="1"/>
  </r>
  <r>
    <x v="2"/>
    <s v="Eastvale Chamber of Commerce Breakfast Mixer"/>
    <d v="2024-11-07T00:00:00"/>
    <s v=" Presenting"/>
    <n v="40"/>
    <n v="40"/>
    <s v="great turn out"/>
    <s v="Paredez, Emily "/>
    <s v="Eastvale"/>
    <n v="1"/>
  </r>
  <r>
    <x v="2"/>
    <s v="Jurupa Valley Chamber- Business Networking Meeting"/>
    <d v="2024-10-10T00:00:00"/>
    <s v="Networking"/>
    <n v="40"/>
    <n v="40"/>
    <s v="Growing chamber event. "/>
    <s v="Jennifer Contreras "/>
    <s v="Jurupa Valley"/>
    <n v="1"/>
  </r>
  <r>
    <x v="2"/>
    <s v="Irwindale Miltichamber Mixer"/>
    <d v="2024-09-17T00:00:00"/>
    <s v="Networking "/>
    <n v="40"/>
    <n v="40"/>
    <s v="Multichamber mixer had 30 second commercials like the last one. Irwindale seems to be having more events. "/>
    <s v="Jordie Annen"/>
    <s v="Irwindale"/>
    <n v="1"/>
  </r>
  <r>
    <x v="2"/>
    <s v="Multi Chamber Mixer - Rancho, Chino, and Eastvale"/>
    <d v="2024-06-20T00:00:00"/>
    <s v="Networking"/>
    <n v="40"/>
    <n v="40"/>
    <s v="Large audience at this event. It was well attended and lots of great connections in the room"/>
    <s v="Paredez, Emily "/>
    <m/>
    <n v="1"/>
  </r>
  <r>
    <x v="2"/>
    <s v="Glendora Chamber Luncheon"/>
    <d v="2024-06-13T00:00:00"/>
    <s v="Speaking"/>
    <n v="40"/>
    <n v="40"/>
    <s v="Larger audience than expected due to the venue and alot of people wanted to hear from the airport"/>
    <s v="Paredez, Emily "/>
    <m/>
    <n v="1"/>
  </r>
  <r>
    <x v="2"/>
    <s v="Murrieta/Wildomar Chamber- Networking Breakfast "/>
    <d v="2024-06-13T00:00:00"/>
    <s v="Networking "/>
    <n v="40"/>
    <n v="40"/>
    <s v="Well attended, need to book presentation for early 2025. They are booked up for 2024.,"/>
    <s v="Jennifer Contreras "/>
    <m/>
    <n v="1"/>
  </r>
  <r>
    <x v="2"/>
    <s v="Rep Norma Torres Check Presentation "/>
    <d v="2024-05-29T00:00:00"/>
    <s v="Check Presentation "/>
    <n v="40"/>
    <n v="40"/>
    <m/>
    <s v="CE Team "/>
    <s v="Ontario"/>
    <n v="1"/>
  </r>
  <r>
    <x v="2"/>
    <s v="B@B Eastvale Chamber of Commerce"/>
    <d v="2024-04-04T00:00:00"/>
    <s v="Networking "/>
    <n v="40"/>
    <n v="40"/>
    <s v="Always a very well attended event with several city officials. I prioritize this event and the chamber is growing"/>
    <s v="Paredez, Emily"/>
    <m/>
    <n v="1"/>
  </r>
  <r>
    <x v="2"/>
    <s v="Riverside Chamber Inside Downtown "/>
    <d v="2024-04-04T00:00:00"/>
    <s v="Networking "/>
    <n v="40"/>
    <n v="40"/>
    <s v="Well attended by local business owners and city leadership."/>
    <s v="Jenny Contreras "/>
    <m/>
    <n v="1"/>
  </r>
  <r>
    <x v="2"/>
    <s v="Eastvale Breakfast Mixer"/>
    <d v="2024-03-07T00:00:00"/>
    <s v="Networking "/>
    <n v="40"/>
    <n v="40"/>
    <s v="Always very well attended and made some great connections"/>
    <s v="Paredez, Emily "/>
    <m/>
    <n v="1"/>
  </r>
  <r>
    <x v="2"/>
    <s v="Eastvale Breakfast Mixer"/>
    <d v="2024-01-04T00:00:00"/>
    <s v="Networking"/>
    <n v="40"/>
    <n v="40"/>
    <s v="Great turn out at these events. Got to pitch our 5K in front of a large audience and great connections in the room"/>
    <s v="Paredez, Emily "/>
    <m/>
    <n v="1"/>
  </r>
  <r>
    <x v="2"/>
    <s v="Covina Chamber of Commerce"/>
    <d v="2023-12-13T00:00:00"/>
    <s v="Networking "/>
    <n v="40"/>
    <n v="40"/>
    <s v="Great attendance and a room full of great connections. "/>
    <s v="Paredez, Emily "/>
    <s v="Ontario"/>
    <n v="1"/>
  </r>
  <r>
    <x v="2"/>
    <s v="Chino Valley Leadership Collaborative"/>
    <d v="2023-11-03T00:00:00"/>
    <s v="Networking "/>
    <n v="40"/>
    <n v="40"/>
    <s v="First meeting with this leadership group. Great networking opportunities and exposure for ONT."/>
    <s v="Paredez, Emily "/>
    <s v="Ontario"/>
    <n v="1"/>
  </r>
  <r>
    <x v="2"/>
    <s v="Menifee Chamber Midday Mixer "/>
    <d v="2023-08-23T00:00:00"/>
    <s v="Networking "/>
    <n v="40"/>
    <n v="40"/>
    <s v="Well attended luncheon event held at a unique location. They allowed attendees to indroduce themselves. "/>
    <s v="Contreras, Jennifer "/>
    <s v="Ontario"/>
    <n v="1"/>
  </r>
  <r>
    <x v="2"/>
    <s v="Good Morning Riverside Chamber "/>
    <d v="2023-04-05T00:00:00"/>
    <s v="Networking"/>
    <n v="40"/>
    <n v="40"/>
    <s v="Great event! There were good connections here and a good event for a future presentation opportunity."/>
    <s v="Emily/Steph"/>
    <s v="Ontario"/>
    <n v="1"/>
  </r>
  <r>
    <x v="2"/>
    <s v="pomona chamber coffee connections"/>
    <d v="2025-06-26T00:00:00"/>
    <s v="Networking "/>
    <n v="25"/>
    <n v="40"/>
    <m/>
    <s v="Paredez, Emily"/>
    <s v="Pomona"/>
    <n v="0.625"/>
  </r>
  <r>
    <x v="2"/>
    <s v="Riverside Chamber- Afterhours Business Mixer"/>
    <d v="2025-07-24T00:00:00"/>
    <s v="Networking "/>
    <n v="21"/>
    <n v="40"/>
    <m/>
    <s v="Jennifer Contreras"/>
    <s v="Riverside"/>
    <n v="0.52500000000000002"/>
  </r>
  <r>
    <x v="2"/>
    <s v="ABAIE Mixer"/>
    <d v="2024-09-25T00:00:00"/>
    <s v="Networking "/>
    <n v="20"/>
    <n v="40"/>
    <s v="Well attended mixer. They were happy to have ONT involved and want us to attend/partner with them on more events "/>
    <s v="Jennifer Contreras "/>
    <s v="Rancho Cucamonga"/>
    <n v="0.5"/>
  </r>
  <r>
    <x v="2"/>
    <s v="Rancho Cucamonga Chamber BCN"/>
    <d v="2023-01-12T00:00:00"/>
    <s v="Networking"/>
    <n v="20"/>
    <n v="40"/>
    <s v="Loved the presentation at this luncheon from Mayor Pro Tem; great engagement"/>
    <s v="Steph"/>
    <s v="Ontario"/>
    <n v="0.5"/>
  </r>
  <r>
    <x v="2"/>
    <s v="Rancho Cucamonga Breakfast"/>
    <d v="2022-06-16T00:00:00"/>
    <s v="Network"/>
    <n v="20"/>
    <n v="40"/>
    <s v="Good opportunity to network"/>
    <s v="Steph"/>
    <s v="Ontario"/>
    <n v="0.5"/>
  </r>
  <r>
    <x v="2"/>
    <s v="Wake Up Menifee"/>
    <d v="2025-01-21T00:00:00"/>
    <s v="Networking "/>
    <n v="15"/>
    <n v="40"/>
    <s v="Did not get the opp to speak in front of the entire group but the event does not have a long set program so there is plenty of time to network. Jennifer Root = superintendent, friends with Sadie's dad keep note. Chamber CEO wants me to come and talk about the airport, its history and focus on how businesses can bid on projects."/>
    <s v="Sadie Gribbon"/>
    <s v="Menifee"/>
    <n v="0.375"/>
  </r>
  <r>
    <x v="2"/>
    <s v="Fontana Chamber Mixer"/>
    <d v="2024-03-13T00:00:00"/>
    <s v="Networking "/>
    <n v="15"/>
    <n v="40"/>
    <s v="Small mixer, hard to know who was part of it and who was a hotel guest"/>
    <s v="Paredez, Emily; Salvador, Jordan"/>
    <m/>
    <n v="0.375"/>
  </r>
  <r>
    <x v="2"/>
    <s v="Murrieta/Wildomar Chamber&quot;National Support Your Local Chamber of Commerce Day&quot; Luncheon Event "/>
    <d v="2023-10-18T00:00:00"/>
    <s v="Networking "/>
    <n v="15"/>
    <n v="40"/>
    <s v="First time attending a MWCOC event but well attended."/>
    <s v="Contreras, Jennifer "/>
    <s v="Ontario"/>
    <n v="0.375"/>
  </r>
  <r>
    <x v="2"/>
    <s v="State of the Chamber"/>
    <d v="2022-02-08T00:00:00"/>
    <s v="Network"/>
    <n v="15"/>
    <n v="40"/>
    <s v="Virtual so difficult to network"/>
    <s v="Priscilla"/>
    <s v="Ontario"/>
    <n v="0.375"/>
  </r>
  <r>
    <x v="2"/>
    <s v="Placentia Chamber Holiday Sunset Social"/>
    <d v="2024-12-05T00:00:00"/>
    <s v="Networking"/>
    <n v="10"/>
    <n v="40"/>
    <s v="Nice holiday wrap up of the year. I was able to meet members of the Chamber that I hadn't met before."/>
    <s v="Connie Royal"/>
    <s v="Placentia"/>
    <n v="0.25"/>
  </r>
  <r>
    <x v="2"/>
    <s v="Greater High Desert Coffee Break "/>
    <d v="2024-07-12T00:00:00"/>
    <s v="Networking "/>
    <n v="6"/>
    <n v="40"/>
    <s v="Great and unique way to present and network via zoom"/>
    <s v="Jennifer Contreras "/>
    <s v="Greater High Desert"/>
    <n v="0.15"/>
  </r>
  <r>
    <x v="2"/>
    <s v="Greater High Desert- Coffee Break Meeting "/>
    <d v="2025-06-27T00:00:00"/>
    <s v="Networking"/>
    <n v="41"/>
    <n v="41"/>
    <m/>
    <s v="Jennifer Contreras"/>
    <s v="Greater High Desert"/>
    <n v="1"/>
  </r>
  <r>
    <x v="2"/>
    <s v="*Speaking* Yorba Linda Chamber Network Connection Luncheon"/>
    <d v="2024-03-19T00:00:00"/>
    <s v="Presenting "/>
    <n v="41"/>
    <n v="41"/>
    <s v="Great crowd! Information was well received. Recommend speaking at this event again. "/>
    <s v="Jenny Contreras, Connie Royal"/>
    <m/>
    <n v="1"/>
  </r>
  <r>
    <x v="2"/>
    <s v="Riverside Chamber- Business in Action "/>
    <d v="2025-05-07T00:00:00"/>
    <s v="Networking "/>
    <n v="42"/>
    <n v="42"/>
    <m/>
    <s v="Jennifer Contreras"/>
    <s v="Riverside"/>
    <n v="1"/>
  </r>
  <r>
    <x v="2"/>
    <s v="*Speaking* Greater High Desert- Coffee Break meeting "/>
    <d v="2025-07-25T00:00:00"/>
    <s v="Speaking "/>
    <n v="43"/>
    <n v="43"/>
    <m/>
    <s v="Jennifer Contreras"/>
    <s v="Greater High Desert"/>
    <n v="1"/>
  </r>
  <r>
    <x v="2"/>
    <s v="Murrieta/ Wildomar Chamber- Networking Breakfast "/>
    <d v="2025-06-12T00:00:00"/>
    <s v="Networking"/>
    <n v="43"/>
    <n v="43"/>
    <m/>
    <s v="Jennifer Contreras"/>
    <s v="Murrieta"/>
    <n v="1"/>
  </r>
  <r>
    <x v="2"/>
    <s v="Good Morning Anaheim"/>
    <d v="2025-10-03T00:00:00"/>
    <s v="Networking"/>
    <n v="45"/>
    <n v="45"/>
    <m/>
    <s v="Sadie Gribbon"/>
    <s v="Anaheim"/>
    <n v="1"/>
  </r>
  <r>
    <x v="2"/>
    <s v="La Habra Chamber of Commerce Connect Up"/>
    <d v="2025-10-02T00:00:00"/>
    <s v="Networking"/>
    <n v="45"/>
    <n v="45"/>
    <m/>
    <s v="Connie Royal"/>
    <s v="La Habra"/>
    <n v="1"/>
  </r>
  <r>
    <x v="2"/>
    <s v="*Speaking* Chino Valley Chamber"/>
    <d v="2025-08-20T00:00:00"/>
    <s v="Speaking "/>
    <n v="45"/>
    <n v="45"/>
    <s v="compliment on our marketing efforts"/>
    <s v="Emily Paredez"/>
    <s v="Chino/Chino Hills"/>
    <n v="1"/>
  </r>
  <r>
    <x v="2"/>
    <s v="Rancho Chamber BNC Breakfast"/>
    <d v="2025-08-14T00:00:00"/>
    <s v="Networking "/>
    <n v="45"/>
    <n v="45"/>
    <m/>
    <s v="Emily Paredez"/>
    <s v="Rancho"/>
    <n v="1"/>
  </r>
  <r>
    <x v="2"/>
    <s v="Arcadia Rise and Shine"/>
    <d v="2025-06-19T00:00:00"/>
    <s v="Networking "/>
    <n v="45"/>
    <n v="45"/>
    <m/>
    <s v="Sadie Gribbon"/>
    <s v="Arcadia"/>
    <n v="1"/>
  </r>
  <r>
    <x v="2"/>
    <s v="*SPEAKING* Placentia Chamber Power Networking Lunch"/>
    <d v="2025-05-23T00:00:00"/>
    <s v="Speaking"/>
    <n v="45"/>
    <n v="45"/>
    <m/>
    <s v="Connie Royal"/>
    <s v="Placentia"/>
    <n v="1"/>
  </r>
  <r>
    <x v="2"/>
    <s v="Good Morning Anaheim"/>
    <d v="2025-03-07T00:00:00"/>
    <s v="Networking "/>
    <n v="45"/>
    <n v="45"/>
    <s v="Travelers excited about STARLUX and have utilized out of LAX and exc ited to have the option out of ONT. A lot of excitement about BX in T4."/>
    <s v="Sadie Gribbon"/>
    <s v="Anaheim"/>
    <n v="1"/>
  </r>
  <r>
    <x v="2"/>
    <s v="Eastvale chamber of commerce"/>
    <d v="2024-12-05T00:00:00"/>
    <s v="Networking "/>
    <n v="45"/>
    <n v="45"/>
    <m/>
    <s v="Emily Paredez"/>
    <s v="Eastvale"/>
    <n v="1"/>
  </r>
  <r>
    <x v="2"/>
    <s v="Yorba Linda Chamber Network Connection Luncheon"/>
    <d v="2024-10-22T00:00:00"/>
    <s v="*SPEAKING*"/>
    <n v="45"/>
    <n v="45"/>
    <m/>
    <s v="Connie Royal"/>
    <s v="Yorba Linda"/>
    <n v="1"/>
  </r>
  <r>
    <x v="2"/>
    <s v="eastvale chamber of commerce Mixer"/>
    <d v="2024-09-05T00:00:00"/>
    <s v="Networking "/>
    <n v="45"/>
    <n v="45"/>
    <s v="Great turnout"/>
    <s v="Paredez, Emily "/>
    <s v="Eastvale"/>
    <n v="1"/>
  </r>
  <r>
    <x v="2"/>
    <s v="Irwindale Multi Chamber Mixer"/>
    <d v="2024-07-26T00:00:00"/>
    <s v="Networking "/>
    <n v="45"/>
    <n v="45"/>
    <s v="This event had a great turn out! Everyone did a 30 second commercial. It was a nice to see who comes to the Irwindale events."/>
    <s v="Jordie Annen"/>
    <s v="Irwindale"/>
    <n v="1"/>
  </r>
  <r>
    <x v="2"/>
    <s v="Upland Chamber Luncheon"/>
    <d v="2024-07-25T00:00:00"/>
    <s v="Networking "/>
    <n v="45"/>
    <n v="45"/>
    <s v="Great turnout and allows us to do a pitch and was able to speak to a larger crowd"/>
    <s v="Paredez, Emily "/>
    <s v="Upland"/>
    <n v="1"/>
  </r>
  <r>
    <x v="2"/>
    <s v="Eastvale Chamber of Commerce"/>
    <d v="2024-06-06T00:00:00"/>
    <s v="Networking "/>
    <n v="45"/>
    <n v="45"/>
    <s v="Always a great turn out at this event and prioritize it"/>
    <s v="Paredez, Emily"/>
    <m/>
    <n v="1"/>
  </r>
  <r>
    <x v="2"/>
    <s v="Arcadia Chamber of Commerce"/>
    <d v="2024-01-18T00:00:00"/>
    <s v="Networking"/>
    <n v="45"/>
    <n v="45"/>
    <s v="Large audience at this event consistently and give you an opportunity to advertise your business in front  of this large audience. Prioritize this event."/>
    <s v="Paredez, Emily "/>
    <m/>
    <n v="1"/>
  </r>
  <r>
    <x v="2"/>
    <s v="Eastvale Chamber of Commerce "/>
    <d v="2023-08-03T00:00:00"/>
    <s v="Networking "/>
    <n v="45"/>
    <n v="45"/>
    <s v="This event is always big and got to hear from the City Manager as he spoke about upcoming projects. I prioritize this event."/>
    <s v="Paredez, Emily "/>
    <s v="Ontario"/>
    <n v="1"/>
  </r>
  <r>
    <x v="2"/>
    <s v="Rancho Chamber Breakfast"/>
    <d v="2023-07-13T00:00:00"/>
    <s v="Networking "/>
    <n v="30"/>
    <n v="45"/>
    <s v="Good attendance for morning event"/>
    <s v="Steph "/>
    <s v="Ontario"/>
    <n v="0.66666666666666663"/>
  </r>
  <r>
    <x v="2"/>
    <s v="Rancho Chamber Lunch"/>
    <d v="2023-06-22T00:00:00"/>
    <s v="Networking "/>
    <n v="30"/>
    <n v="45"/>
    <s v="Less of a turnout due to guest speaker"/>
    <s v="Steph"/>
    <s v="Ontario"/>
    <n v="0.66666666666666663"/>
  </r>
  <r>
    <x v="2"/>
    <s v="Rancho Cucamonga Luncheon"/>
    <d v="2022-03-03T00:00:00"/>
    <s v="Network"/>
    <n v="30"/>
    <n v="45"/>
    <s v="Good engagement and opportunity to network"/>
    <s v="Steph"/>
    <s v="Ontario"/>
    <n v="0.66666666666666663"/>
  </r>
  <r>
    <x v="2"/>
    <s v="Coffee with the city of Wildomar"/>
    <d v="2024-11-12T00:00:00"/>
    <s v="Networking "/>
    <n v="20"/>
    <n v="45"/>
    <s v="Growing event "/>
    <s v="Jennifer Contreras "/>
    <s v="Murrieta"/>
    <n v="0.44444444444444442"/>
  </r>
  <r>
    <x v="2"/>
    <s v="Monrovia Chamber Mixer"/>
    <d v="2025-06-26T00:00:00"/>
    <s v="Networking "/>
    <n v="15"/>
    <n v="45"/>
    <m/>
    <m/>
    <s v="Monrovia"/>
    <n v="0.33333333333333331"/>
  </r>
  <r>
    <x v="2"/>
    <s v="Wake Up Menifee"/>
    <d v="2024-06-18T00:00:00"/>
    <s v="Networking "/>
    <n v="15"/>
    <n v="45"/>
    <s v="Quality 30 second spot to talk about the MCM (and any other ONT items) at each breakfast which is great. The people of Menifee love the airport and love to talk about it so the vibe of the meetings are always really positive and collaborative. I always reccommend going to the Wake Up Menifee breakfasts when possible!"/>
    <s v="Sadie Gribbon"/>
    <m/>
    <n v="0.33333333333333331"/>
  </r>
  <r>
    <x v="2"/>
    <s v="Economic Workforce Development Committee Luncheon"/>
    <d v="2024-04-18T00:00:00"/>
    <s v="Networking "/>
    <n v="15"/>
    <n v="45"/>
    <s v="Highly attended, city leaders (mayor, city planner, economic dev.) and regional leaders (Riverside County DA and Sheriff). These are monthly -- talking to Matthew Dobbler about speaking opportunity for the Airport this summer. "/>
    <s v="Sadie Gribbon"/>
    <m/>
    <n v="0.33333333333333331"/>
  </r>
  <r>
    <x v="2"/>
    <s v="Coffee with the Mayor of Wildomar"/>
    <d v="2023-02-15T00:00:00"/>
    <s v="Networking "/>
    <n v="15"/>
    <n v="45"/>
    <s v="Good engagement and connections, Mayor would like ONT updates to the public at the events I attend. Congressman Ken Calvert is an avid ONT flyer. Recognized a couple faces from previous events. "/>
    <s v="Rehmani, Ain "/>
    <s v="Ontario"/>
    <n v="0.33333333333333331"/>
  </r>
  <r>
    <x v="2"/>
    <s v="Wake Up Menifee"/>
    <d v="2024-07-16T00:00:00"/>
    <s v="Networking"/>
    <n v="10"/>
    <n v="45"/>
    <s v="This was not as large of a turnout as typical breakfasts, however it was outdoors and very hot so I think that deterred some folks. I was able to have some quality conversations with city government leaders and the mayor (Bill Zimmerman) who is also the prmary historian for the city so took advantage of that background knowledge and history on the city and its growth. Met some new faces who ended up attending the MCM that week!"/>
    <s v="Sadie Gribbon"/>
    <s v="Menifee"/>
    <n v="0.22222222222222221"/>
  </r>
  <r>
    <x v="2"/>
    <s v="Yorba Linda Chamber Network Connection Luncheon"/>
    <d v="2024-10-01T00:00:00"/>
    <s v="Networking"/>
    <n v="8"/>
    <n v="45"/>
    <s v="This chamber loves supporting ONT and they too had really great reactions to the valet service."/>
    <s v="Connie Royal"/>
    <s v="Yorba Linda"/>
    <n v="0.17777777777777778"/>
  </r>
  <r>
    <x v="2"/>
    <s v="Good Morning, Brea!"/>
    <d v="2024-11-21T00:00:00"/>
    <s v="Networking"/>
    <n v="6"/>
    <n v="45"/>
    <s v="We should definitely look into sponsoring this event so I can also have a speaking opportunity. This breakfast is a much bigger hit than any of their lunches."/>
    <s v="Connie Royal"/>
    <s v="Brea"/>
    <n v="0.13333333333333333"/>
  </r>
  <r>
    <x v="2"/>
    <s v="IKEA Multi Chamber Mixer"/>
    <d v="2025-05-08T00:00:00"/>
    <s v="Networking "/>
    <n v="5"/>
    <n v="45"/>
    <m/>
    <s v="Sadie Gribbon"/>
    <s v="Claremont"/>
    <n v="0.1111111111111111"/>
  </r>
  <r>
    <x v="2"/>
    <s v="Murrieta /Wildomar Chamber-Coffee with the Wildomar "/>
    <d v="2024-10-08T00:00:00"/>
    <s v="Networking"/>
    <n v="18"/>
    <n v="48"/>
    <s v="Growing event "/>
    <s v="Jennifer Contreras "/>
    <s v="Murrieta"/>
    <n v="0.375"/>
  </r>
  <r>
    <x v="2"/>
    <s v="Upland Chamber of Commerce"/>
    <d v="2025-09-05T00:00:00"/>
    <s v="Networking "/>
    <n v="50"/>
    <n v="50"/>
    <m/>
    <s v="Emily Paredez"/>
    <s v="Upland"/>
    <n v="1"/>
  </r>
  <r>
    <x v="2"/>
    <s v="Leads Lunch Anaheim"/>
    <d v="2025-07-16T00:00:00"/>
    <s v="Networking "/>
    <n v="50"/>
    <n v="50"/>
    <m/>
    <s v="Sadie Gribbon"/>
    <s v="Anaheim"/>
    <n v="1"/>
  </r>
  <r>
    <x v="2"/>
    <s v="Eastvale Chamber of Commerce - breakfast mixer"/>
    <d v="2025-07-10T00:00:00"/>
    <s v="Networking "/>
    <n v="50"/>
    <n v="50"/>
    <m/>
    <s v="Emily Paredez"/>
    <s v="Eastvale"/>
    <n v="1"/>
  </r>
  <r>
    <x v="2"/>
    <s v="*Speaking* Upland chamber of commerce"/>
    <d v="2025-05-22T00:00:00"/>
    <s v="Speaking"/>
    <n v="50"/>
    <n v="50"/>
    <m/>
    <s v="Emily Paredez  "/>
    <s v="Upland"/>
    <n v="1"/>
  </r>
  <r>
    <x v="2"/>
    <s v="Murrieta /Wildomar Chamber- Networking Breakfast"/>
    <d v="2025-03-13T00:00:00"/>
    <s v="Networking"/>
    <n v="50"/>
    <n v="50"/>
    <m/>
    <s v="Jennifer Contreras"/>
    <s v="Murrieta"/>
    <n v="1"/>
  </r>
  <r>
    <x v="2"/>
    <s v="Yorba Linda Chamber of Commerce Networking Lunch"/>
    <d v="2025-03-04T00:00:00"/>
    <s v="Networking"/>
    <n v="50"/>
    <n v="50"/>
    <s v="I won for best &quot;commercial pitch&quot; when I played mariachi music while sharing the news that we will be servicing nonstop flights to Cabo starting in July!"/>
    <s v="Connie Royal"/>
    <s v="Yorba Linda"/>
    <n v="1"/>
  </r>
  <r>
    <x v="2"/>
    <s v="upland chamber monthly luncheon"/>
    <d v="2025-02-27T00:00:00"/>
    <s v="Networking "/>
    <n v="50"/>
    <n v="50"/>
    <m/>
    <s v="Emily Paredez"/>
    <s v="Upland"/>
    <n v="1"/>
  </r>
  <r>
    <x v="2"/>
    <s v="Eastvale Breakfast Mixer"/>
    <d v="2025-01-09T00:00:00"/>
    <s v="Networking "/>
    <n v="50"/>
    <n v="50"/>
    <s v="Always a great turn out"/>
    <s v="Emily paredez"/>
    <s v="Eastvale"/>
    <n v="1"/>
  </r>
  <r>
    <x v="2"/>
    <s v="CVLC Graduation and Innovation Event"/>
    <d v="2024-08-21T00:00:00"/>
    <s v="Networking "/>
    <n v="50"/>
    <n v="50"/>
    <s v="Emily graduated from the collaborative and team attended to support"/>
    <s v="Emily Paredez, Jennifer Contreras, Sadie Gribbon"/>
    <s v="Chino Valley"/>
    <n v="1"/>
  </r>
  <r>
    <x v="2"/>
    <s v="Upland Chamber Breakfast"/>
    <d v="2024-08-02T00:00:00"/>
    <s v="Networking "/>
    <n v="50"/>
    <n v="50"/>
    <s v="Big turnout and give an opportunity to speak in front of the crowd. Got asked to join a roundtable for the airport"/>
    <m/>
    <s v="Upland"/>
    <n v="1"/>
  </r>
  <r>
    <x v="2"/>
    <s v="eastvale chamber of commerce"/>
    <d v="2024-08-01T00:00:00"/>
    <s v="Networking "/>
    <n v="50"/>
    <n v="50"/>
    <s v="Great turn out and always good opportunities to speak"/>
    <s v="Paredez, Emily "/>
    <s v="Eastvale"/>
    <n v="1"/>
  </r>
  <r>
    <x v="2"/>
    <s v="Murrieta/ Wildomar Chamber Networking Breakfast "/>
    <d v="2024-01-11T00:00:00"/>
    <s v="Networking"/>
    <n v="50"/>
    <n v="50"/>
    <s v="Well attended by local leaders."/>
    <s v="Jenny Contreras "/>
    <m/>
    <n v="1"/>
  </r>
  <r>
    <x v="2"/>
    <s v="Lake Elsinore- Humpday Morning Mixer "/>
    <d v="2023-10-11T00:00:00"/>
    <s v="Networking "/>
    <n v="50"/>
    <n v="50"/>
    <s v="Very well attended and they allow self introductions and 30 second business commericial "/>
    <s v="Contreras, Jennifer "/>
    <s v="Ontario"/>
    <n v="1"/>
  </r>
  <r>
    <x v="2"/>
    <s v="Upland Chamber Lunch"/>
    <d v="2023-08-24T00:00:00"/>
    <s v="Presentation "/>
    <n v="50"/>
    <n v="50"/>
    <s v="Presentation went well; venue screens were far away"/>
    <s v="Steph"/>
    <s v="Ontario"/>
    <n v="1"/>
  </r>
  <r>
    <x v="2"/>
    <s v="Eastvale Chamber of Commerce "/>
    <d v="2023-04-06T00:00:00"/>
    <s v="Networking"/>
    <n v="50"/>
    <n v="50"/>
    <s v="Large and growing attendance at this event. Very good connections and will be presenting here in June"/>
    <s v="Paredez, Emily "/>
    <s v="Ontario"/>
    <n v="1"/>
  </r>
  <r>
    <x v="2"/>
    <s v="March Chamber Brief"/>
    <d v="2023-03-08T00:00:00"/>
    <s v="Networking"/>
    <n v="50"/>
    <n v="50"/>
    <s v="Small event with great information, 1 potential speaking opportunties, 1 invite to a local event, 2 potential supplier partners.   "/>
    <s v="Paredez, Emily"/>
    <s v="Ontario"/>
    <n v="1"/>
  </r>
  <r>
    <x v="2"/>
    <s v="Claremont Chamber Breakfast"/>
    <d v="2022-03-08T00:00:00"/>
    <s v="Network/Present"/>
    <n v="50"/>
    <n v="50"/>
    <s v="Gave presentation about ONT; great engagement and interest from group"/>
    <s v="Steph"/>
    <s v="Ontario"/>
    <n v="1"/>
  </r>
  <r>
    <x v="2"/>
    <s v="Upland Chamber Luncheon"/>
    <d v="2021-10-28T00:00:00"/>
    <s v="ONT Presentation"/>
    <n v="50"/>
    <n v="50"/>
    <s v="Good presentation/ Difficult venue for acoustics"/>
    <s v="Steph"/>
    <s v="Ontario"/>
    <n v="1"/>
  </r>
  <r>
    <x v="2"/>
    <s v="March Monthly Mixer at Legacy Bank"/>
    <d v="2023-03-03T00:00:00"/>
    <s v="Networking "/>
    <n v="30"/>
    <n v="50"/>
    <s v="Really great mixer, Great conversations. CEO of Legacy Bank and his wife only travel through ONT, discussed ONT plus and Brightline"/>
    <m/>
    <s v="Ontario"/>
    <n v="0.6"/>
  </r>
  <r>
    <x v="2"/>
    <s v="Redlands Mixer"/>
    <d v="2023-02-21T00:00:00"/>
    <s v="Networking "/>
    <n v="30"/>
    <n v="50"/>
    <s v="Great conversations and connections. Many new members joined. 1 potential vendor "/>
    <s v="Paredez, Emily"/>
    <s v="Ontario"/>
    <n v="0.6"/>
  </r>
  <r>
    <x v="2"/>
    <s v="Upland Chamber Breakfast"/>
    <d v="2021-08-06T00:00:00"/>
    <s v="Network/announce new ONT position"/>
    <n v="30"/>
    <n v="50"/>
    <s v="Asked to be speaker at future event"/>
    <s v="Steph"/>
    <s v="Ontario"/>
    <n v="0.6"/>
  </r>
  <r>
    <x v="2"/>
    <s v="Meet and Greet"/>
    <d v="2025-08-29T00:00:00"/>
    <s v="Networking "/>
    <n v="25"/>
    <n v="50"/>
    <m/>
    <s v="Emily Paredez"/>
    <s v="Rancho Cucamonga"/>
    <n v="0.5"/>
  </r>
  <r>
    <x v="2"/>
    <s v="Redlands Chamber Mixer"/>
    <d v="2024-07-18T00:00:00"/>
    <s v="Networking "/>
    <n v="20"/>
    <n v="50"/>
    <s v="The mixer had a Bingo game that made everyone walk aaround the room meet eachother to network. Thje chamber does a great job of getting people to move around!"/>
    <s v="Jordie Annen"/>
    <s v="Redlands"/>
    <n v="0.4"/>
  </r>
  <r>
    <x v="2"/>
    <s v="Temecula Valley Chamber Networking Coffee"/>
    <d v="2023-02-03T00:00:00"/>
    <s v="Networking "/>
    <n v="20"/>
    <n v="50"/>
    <s v="Great Engagement. Many good things said about their experiences with OIAA. Music Festival was a notable standout. "/>
    <s v="Rehmani, Ain"/>
    <s v="Ontario"/>
    <n v="0.4"/>
  </r>
  <r>
    <x v="2"/>
    <s v="Claremont Chamber Breakfast"/>
    <d v="2023-01-10T00:00:00"/>
    <s v="Networking"/>
    <n v="20"/>
    <n v="50"/>
    <s v="Always great engagement at this event; met Claremont Kiwanis and discussed a presentation"/>
    <s v="Steph"/>
    <s v="Ontario"/>
    <n v="0.4"/>
  </r>
  <r>
    <x v="2"/>
    <s v="Chino Valley Holiday Luncheon"/>
    <d v="2022-12-14T00:00:00"/>
    <s v="Network"/>
    <n v="20"/>
    <n v="50"/>
    <s v="Good engagement"/>
    <s v="Steph"/>
    <s v="Ontario"/>
    <n v="0.4"/>
  </r>
  <r>
    <x v="2"/>
    <s v="Wake Up Moreno Valley"/>
    <d v="2025-02-26T00:00:00"/>
    <s v="Networking "/>
    <n v="15"/>
    <n v="50"/>
    <m/>
    <s v="Sadie Gribbon"/>
    <s v="Moreno Valley"/>
    <n v="0.3"/>
  </r>
  <r>
    <x v="2"/>
    <s v="Wake Up Menifee"/>
    <d v="2024-08-20T00:00:00"/>
    <s v="Networking "/>
    <n v="15"/>
    <n v="50"/>
    <m/>
    <s v="Sadie Gribbon"/>
    <s v="Menifee"/>
    <n v="0.3"/>
  </r>
  <r>
    <x v="2"/>
    <s v="SGV Mega Mix Expo"/>
    <d v="2024-02-08T00:00:00"/>
    <s v="Networking"/>
    <n v="15"/>
    <n v="50"/>
    <s v="Very small turn out and lots of vendors but little crowd. Vendors did mention that there was a lot of traffic in the afternoon and felt worth participating in."/>
    <s v="Paredez, Emily "/>
    <m/>
    <n v="0.3"/>
  </r>
  <r>
    <x v="2"/>
    <s v="Wake Up Moreno Valley"/>
    <d v="2025-09-24T00:00:00"/>
    <s v="Networking"/>
    <n v="13"/>
    <n v="50"/>
    <m/>
    <s v="Juleen Erives and Sadie Gribbon"/>
    <s v="Moreno Valley"/>
    <n v="0.26"/>
  </r>
  <r>
    <x v="2"/>
    <s v="Wake Up Menifee"/>
    <d v="2025-04-15T00:00:00"/>
    <s v="Networking"/>
    <n v="12"/>
    <n v="50"/>
    <m/>
    <s v="Sadie Gribbon"/>
    <s v="Menifee"/>
    <n v="0.24"/>
  </r>
  <r>
    <x v="2"/>
    <s v="Wake Up Menifee"/>
    <d v="2024-12-17T00:00:00"/>
    <s v="Networking"/>
    <n v="12"/>
    <n v="50"/>
    <s v="Always a great turnout, make sure to bring Mayor Bill Zimmerman some socks next time you're there."/>
    <s v="Sadie Gribbon"/>
    <s v="Menifee"/>
    <n v="0.24"/>
  </r>
  <r>
    <x v="2"/>
    <s v="Tasty Tuesday San Gabriel"/>
    <d v="2024-05-07T00:00:00"/>
    <s v="Networking "/>
    <n v="11"/>
    <n v="50"/>
    <s v="This seems to always be a great turnout. The mayor of San Gabriel (John Wu) is a HUGE ONT fan and gave the airport a lot of attention while speaking at the lunch. There are no presentation opportunities at this event but it is great for networking and showing up for the city -- a lot of city officials and small spots to speak when bringing a door prize."/>
    <s v="Sadie Gribbon"/>
    <m/>
    <n v="0.22"/>
  </r>
  <r>
    <x v="2"/>
    <s v="Yorba Linda Chamber Lunch Mob"/>
    <d v="2024-12-17T00:00:00"/>
    <s v="Networking"/>
    <n v="10"/>
    <n v="50"/>
    <m/>
    <s v="Connie Royal"/>
    <s v="Yorba Linda"/>
    <n v="0.2"/>
  </r>
  <r>
    <x v="2"/>
    <s v="Wake Up Menifee"/>
    <d v="2024-11-21T00:00:00"/>
    <s v="Networking"/>
    <n v="10"/>
    <n v="50"/>
    <m/>
    <s v="Sadie Gribbon"/>
    <s v="Menifee"/>
    <n v="0.2"/>
  </r>
  <r>
    <x v="2"/>
    <s v="Norco Chamber Ribbon Cutting "/>
    <d v="2024-10-23T00:00:00"/>
    <s v="Networking"/>
    <n v="10"/>
    <n v="50"/>
    <s v="Very large ribbon cutting for the new hotel Tru by Hilton. "/>
    <m/>
    <s v="Norco"/>
    <n v="0.2"/>
  </r>
  <r>
    <x v="2"/>
    <s v="Placentia Chamber New Member/Significant Anniversary Reception"/>
    <d v="2024-10-16T00:00:00"/>
    <s v="Networking"/>
    <n v="10"/>
    <n v="50"/>
    <s v="Huge event and really great opportunities for networking"/>
    <s v="Connie Royal"/>
    <s v="Placentia"/>
    <n v="0.2"/>
  </r>
  <r>
    <x v="2"/>
    <s v="Redlands Rise and Shine"/>
    <d v="2024-08-02T00:00:00"/>
    <s v="Networking "/>
    <n v="6"/>
    <n v="50"/>
    <s v="The Rise &amp; Shines are great for getting info on what will be going on with the Chamber. It is a sit down though with limited time for networking. Could eb good for presenting."/>
    <s v="Jordie Annen"/>
    <s v="Redlands"/>
    <n v="0.12"/>
  </r>
  <r>
    <x v="2"/>
    <s v="Murrieta/Wildomar Chamber- August Networking Breakfast "/>
    <d v="2025-08-14T00:00:00"/>
    <s v="Networking "/>
    <n v="51"/>
    <n v="51"/>
    <m/>
    <s v="Jennifer Contreras"/>
    <s v="Murrieta"/>
    <n v="1"/>
  </r>
  <r>
    <x v="2"/>
    <s v="Murrieta/Wildomar Chamber- Networking Breakfast "/>
    <d v="2025-07-10T00:00:00"/>
    <s v="Networking "/>
    <n v="53"/>
    <n v="53"/>
    <m/>
    <s v="Jennifer Contreras"/>
    <s v="Murrieta"/>
    <n v="1"/>
  </r>
  <r>
    <x v="2"/>
    <s v="Greater High Desert Chamber Coffee Break "/>
    <d v="2024-09-20T00:00:00"/>
    <s v="Networking "/>
    <n v="53"/>
    <n v="53"/>
    <m/>
    <s v="Jennifer Contreras "/>
    <s v="Greater High Desert"/>
    <n v="1"/>
  </r>
  <r>
    <x v="2"/>
    <s v="Wake up Menifee"/>
    <d v="2025-10-21T00:00:00"/>
    <s v="Networking "/>
    <n v="55"/>
    <n v="55"/>
    <m/>
    <s v="Jennifer Contreras and Sadie Gribbon "/>
    <s v="Menifee"/>
    <n v="1"/>
  </r>
  <r>
    <x v="2"/>
    <s v="Upland Chamber of Commerce Breakfast mixer"/>
    <d v="2025-07-11T00:00:00"/>
    <s v="Networking "/>
    <n v="55"/>
    <n v="55"/>
    <m/>
    <s v="Emily paredez"/>
    <s v="Upland"/>
    <n v="1"/>
  </r>
  <r>
    <x v="2"/>
    <s v="Murrieta /Wildomar Chamber- Networking Breakfast "/>
    <d v="2025-05-08T00:00:00"/>
    <s v="Networking "/>
    <n v="55"/>
    <n v="55"/>
    <m/>
    <s v="Jennifer Contreras"/>
    <s v="Murrieta"/>
    <n v="1"/>
  </r>
  <r>
    <x v="2"/>
    <s v="Murrieta /Wildomar Chamber- Networking Breakfast "/>
    <d v="2025-04-08T00:00:00"/>
    <s v="Networking "/>
    <n v="55"/>
    <n v="55"/>
    <m/>
    <s v="Jennifer Contreras"/>
    <s v="Murrieta"/>
    <n v="1"/>
  </r>
  <r>
    <x v="2"/>
    <s v="Murrieta /Wildomar Chamber- Networking Breakfast "/>
    <d v="2024-12-12T00:00:00"/>
    <s v="Networking"/>
    <n v="55"/>
    <n v="55"/>
    <s v="Growing event!"/>
    <s v="Jennifer Contreras "/>
    <s v="Murrieta"/>
    <n v="1"/>
  </r>
  <r>
    <x v="2"/>
    <s v="Upland Chamber Monthly Luncheon"/>
    <d v="2024-09-26T00:00:00"/>
    <s v="Networking "/>
    <n v="55"/>
    <n v="55"/>
    <s v="Large crowd and always get a good amount of time for a commercial. Several people wanting to connect and the chamber assisted with sota filmin"/>
    <s v="Paredez, Emily "/>
    <s v="Upland"/>
    <n v="1"/>
  </r>
  <r>
    <x v="2"/>
    <s v="Upland Chamber of Commerce"/>
    <d v="2024-08-22T00:00:00"/>
    <s v="Networking "/>
    <n v="55"/>
    <n v="55"/>
    <s v="Really big turnout this time. This chamber is growing and very lively!"/>
    <s v="Paredez, Emily "/>
    <s v="Upland"/>
    <n v="1"/>
  </r>
  <r>
    <x v="2"/>
    <s v="Upland Chamber of Commerce Monthly Luncheon"/>
    <d v="2025-07-24T00:00:00"/>
    <s v="Networking "/>
    <n v="10"/>
    <n v="55"/>
    <m/>
    <s v="Emily Paredez"/>
    <s v="Upland"/>
    <n v="0.18181818181818182"/>
  </r>
  <r>
    <x v="2"/>
    <s v="Chamber Breakfast"/>
    <d v="2025-10-03T00:00:00"/>
    <s v="Networking "/>
    <n v="57"/>
    <n v="57"/>
    <m/>
    <s v="Emily Paredez"/>
    <s v="Upland"/>
    <n v="1"/>
  </r>
  <r>
    <x v="2"/>
    <s v="Menifee Midday Mixer"/>
    <d v="2024-08-28T00:00:00"/>
    <s v="Networking "/>
    <n v="60"/>
    <n v="60"/>
    <s v="Always a great event, it is a toss-up each time on if we will get a 30  second spot depending on time but the presenter did not show up so my 30 second spot turned into a three minute talk since chamber members had some questions about the airport. "/>
    <s v="Sadie Gribbon"/>
    <s v="Menifee"/>
    <n v="1"/>
  </r>
  <r>
    <x v="2"/>
    <s v="Lake Elsinore Chamber Humpday Morning Mixer "/>
    <d v="2024-01-10T00:00:00"/>
    <s v="Networking"/>
    <n v="60"/>
    <n v="60"/>
    <s v="Well attended and there is always an opportunity to give quick commercial."/>
    <s v="Jenny Contreras "/>
    <m/>
    <n v="1"/>
  </r>
  <r>
    <x v="2"/>
    <s v="Lake Elsinore's Humpday Morning Mixer "/>
    <d v="2023-11-08T00:00:00"/>
    <s v="Networking "/>
    <n v="60"/>
    <n v="60"/>
    <s v="Well attended event and they allow for 30 second commercial! "/>
    <s v="Contreras, Jennifer "/>
    <s v="Ontario"/>
    <n v="1"/>
  </r>
  <r>
    <x v="2"/>
    <s v="Redlands Rise and Shine Redlands "/>
    <d v="2023-09-01T00:00:00"/>
    <s v="Networking"/>
    <n v="60"/>
    <n v="60"/>
    <s v="Well attended event. They have opportunity to advertise business at end if you take a raffle item."/>
    <s v="Contreras, Jennifer "/>
    <s v="Ontario"/>
    <n v="1"/>
  </r>
  <r>
    <x v="2"/>
    <s v="Claremont Chamber Breakfast"/>
    <d v="2023-06-13T00:00:00"/>
    <s v="Presenting"/>
    <n v="60"/>
    <n v="60"/>
    <m/>
    <s v="Steph"/>
    <s v="Ontario"/>
    <n v="1"/>
  </r>
  <r>
    <x v="2"/>
    <s v="Lake Elsinore Hump Day Morning Mixer "/>
    <d v="2023-02-14T00:00:00"/>
    <s v="Networking"/>
    <n v="60"/>
    <n v="60"/>
    <s v="Well attended by small businesses and local leaders. Reccomend joining chamber! "/>
    <s v="Jenny Contreras "/>
    <m/>
    <n v="1"/>
  </r>
  <r>
    <x v="2"/>
    <s v="Claremont Chamber Breakfast"/>
    <d v="2023-05-09T00:00:00"/>
    <s v="Networking"/>
    <n v="45"/>
    <n v="60"/>
    <s v="Great networking and shout outs for ONT"/>
    <s v="Steph"/>
    <s v="Ontario"/>
    <n v="0.75"/>
  </r>
  <r>
    <x v="2"/>
    <s v="Cookie Co Ribbon Cutting"/>
    <d v="2023-03-06T00:00:00"/>
    <s v="Networking"/>
    <n v="45"/>
    <n v="60"/>
    <s v="Great ribbon cutting"/>
    <s v="Steph"/>
    <s v="Ontario"/>
    <n v="0.75"/>
  </r>
  <r>
    <x v="2"/>
    <s v="Claremont Chamber Breakfast"/>
    <d v="2023-02-14T00:00:00"/>
    <s v="Networking"/>
    <n v="30"/>
    <n v="60"/>
    <s v="Espcially great turn out with good networking "/>
    <s v="Paredez, Emily"/>
    <s v="Ontario"/>
    <n v="0.5"/>
  </r>
  <r>
    <x v="2"/>
    <s v="RC Chamber New Member Reception"/>
    <d v="2022-09-28T00:00:00"/>
    <s v="Network"/>
    <n v="20"/>
    <n v="60"/>
    <s v="Good engagement and opportunity to network"/>
    <s v="Steph"/>
    <s v="Ontario"/>
    <n v="0.33333333333333331"/>
  </r>
  <r>
    <x v="2"/>
    <s v="Good Morning, Brea! Chamber Breakfast"/>
    <d v="2025-09-25T00:00:00"/>
    <s v="Networking"/>
    <n v="15"/>
    <n v="60"/>
    <m/>
    <s v="Connie Royal"/>
    <s v="Brea"/>
    <n v="0.25"/>
  </r>
  <r>
    <x v="2"/>
    <s v="Lake Elsinore Chamber Hump Day Morning Mixer "/>
    <d v="2024-03-13T00:00:00"/>
    <s v="Networking "/>
    <n v="15"/>
    <n v="60"/>
    <s v="Well attended, free breakfast, great place to make connections"/>
    <s v="Jenny Contreras, Sadie Gribbon"/>
    <m/>
    <n v="0.25"/>
  </r>
  <r>
    <x v="2"/>
    <s v="Redlands Rise and Shine"/>
    <d v="2024-03-01T00:00:00"/>
    <s v="Networking "/>
    <n v="15"/>
    <n v="60"/>
    <s v="Well attended, but difficult to make connections/mingle since event has a set agenda. "/>
    <s v="Jenny Contreras "/>
    <m/>
    <n v="0.25"/>
  </r>
  <r>
    <x v="2"/>
    <s v="Redlands Chamber Mixer"/>
    <d v="2024-06-19T00:00:00"/>
    <s v="Network"/>
    <n v="10"/>
    <n v="60"/>
    <s v="Great turn out for this event! Lots of people excited to network. I was told that all their events are well attended."/>
    <s v="Jordie Annen"/>
    <m/>
    <n v="0.16666666666666666"/>
  </r>
  <r>
    <x v="2"/>
    <s v="Claremont Chamber Installation Lunch"/>
    <d v="2024-06-06T00:00:00"/>
    <s v="Networking "/>
    <n v="10"/>
    <n v="60"/>
    <s v="Good tunrout, the airport got recognition for its support and partnership with the chamber, Stephanie King reinstalled as board member!"/>
    <s v="Stephanie King and Sadie Gribbon"/>
    <m/>
    <n v="0.16666666666666666"/>
  </r>
  <r>
    <x v="2"/>
    <s v="Economic Workforce Development Comittee Luncheon"/>
    <d v="2024-06-20T00:00:00"/>
    <s v="Networking "/>
    <n v="8"/>
    <n v="60"/>
    <s v="Good turnout, was ablr to get the MCM out there more and network with city and county officials. Always a good event to go to."/>
    <s v="Sadie Gribbon"/>
    <m/>
    <n v="0.13333333333333333"/>
  </r>
  <r>
    <x v="2"/>
    <s v="Yorba Linda Chamber First Responders Appreciation Breakfast"/>
    <d v="2024-09-25T00:00:00"/>
    <s v="Networking"/>
    <n v="6"/>
    <n v="60"/>
    <s v="Some opportunity for networking; I wouldn't prioritize it for next year, but if available would attend for support"/>
    <s v="Connie Royal"/>
    <s v="Yorba Linda"/>
    <n v="0.1"/>
  </r>
  <r>
    <x v="2"/>
    <s v="Irwindale Chamber of Commerce Holiday Luncheon"/>
    <d v="2023-12-14T00:00:00"/>
    <s v="Networking "/>
    <n v="6"/>
    <n v="60"/>
    <s v="Decent turnout and the location was stunning. I dont see this chamber meet very often but great attendance when they do."/>
    <s v="Paredez, Emily "/>
    <s v="Ontario"/>
    <n v="0.1"/>
  </r>
  <r>
    <x v="2"/>
    <s v="Fontana Chamber Luncheon"/>
    <d v="2024-08-08T00:00:00"/>
    <s v="Networking "/>
    <n v="5"/>
    <n v="60"/>
    <s v="We sat at round tables and were able to converse with everyone at the table."/>
    <s v="Jordie Annen"/>
    <s v="Fontana"/>
    <n v="8.3333333333333329E-2"/>
  </r>
  <r>
    <x v="2"/>
    <s v="Redlands Rise &amp; Shine"/>
    <d v="2024-09-06T00:00:00"/>
    <s v="Networking "/>
    <n v="4"/>
    <n v="60"/>
    <s v="2nd time at this event. Not a lot of networking time, more of a monthly community updates"/>
    <s v="Jordie Annen"/>
    <s v="Redlands"/>
    <n v="6.6666666666666666E-2"/>
  </r>
  <r>
    <x v="2"/>
    <s v="Redlands Rise and Shine "/>
    <d v="2023-10-06T00:00:00"/>
    <s v="Networking "/>
    <n v="62"/>
    <n v="62"/>
    <s v="Well attended event. Take door prize moving forward."/>
    <s v="Contreras, Jennifer "/>
    <s v="Ontario"/>
    <n v="1"/>
  </r>
  <r>
    <x v="2"/>
    <s v="Murrieta/Wildomar Chamber- Networking Breakfast "/>
    <d v="2025-02-13T00:00:00"/>
    <s v="Networking "/>
    <n v="63"/>
    <n v="63"/>
    <m/>
    <s v="Jennifer Contreras"/>
    <s v="Murrieta"/>
    <n v="1"/>
  </r>
  <r>
    <x v="2"/>
    <s v="Covina Chamber Breakfast Club"/>
    <d v="2025-09-03T00:00:00"/>
    <s v="Networking"/>
    <n v="65"/>
    <n v="65"/>
    <s v="Great event, I hadn't been to this breakfast club in a while and I need to prioritize it because it's a big turnout and they allow you to have a 1 minute commercial"/>
    <s v="Connie Royal"/>
    <s v="Covina"/>
    <n v="1"/>
  </r>
  <r>
    <x v="2"/>
    <s v="Brea Chamber: Good Morning, Brea!"/>
    <d v="2025-08-28T00:00:00"/>
    <s v="Networking"/>
    <n v="65"/>
    <n v="65"/>
    <m/>
    <s v="Connie Royal"/>
    <s v="Brea"/>
    <n v="1"/>
  </r>
  <r>
    <x v="2"/>
    <s v="North Orange County Chamber Networking Lunch"/>
    <d v="2025-09-17T00:00:00"/>
    <s v="Networking"/>
    <n v="70"/>
    <n v="70"/>
    <m/>
    <s v="Sadie Gribbon"/>
    <s v="Fullerton"/>
    <n v="1"/>
  </r>
  <r>
    <x v="2"/>
    <s v="Hump Day Morning Mixer"/>
    <d v="2025-04-09T00:00:00"/>
    <s v="Networking"/>
    <n v="70"/>
    <n v="70"/>
    <m/>
    <s v="Sadie Gribbon"/>
    <s v="Lake Elsinore"/>
    <n v="1"/>
  </r>
  <r>
    <x v="2"/>
    <s v="Good Morning Corona "/>
    <d v="2023-10-12T00:00:00"/>
    <s v="Networking "/>
    <n v="70"/>
    <n v="70"/>
    <s v="Well attended but the event has a set agenda "/>
    <s v="Contreras, Jennifer "/>
    <s v="Ontario"/>
    <n v="1"/>
  </r>
  <r>
    <x v="2"/>
    <s v="Riverside Chamber Mixer"/>
    <d v="2026-04-13T00:00:00"/>
    <s v="Networking"/>
    <n v="30"/>
    <n v="70"/>
    <s v="Alot of the crowd was Altura Credit Union employees, but some good connections in the room."/>
    <s v="Paredez, Emily "/>
    <s v="Ontario"/>
    <n v="0.42857142857142855"/>
  </r>
  <r>
    <x v="2"/>
    <s v="Hump Day Morning Mixer - Lake Elsinore"/>
    <d v="2024-06-12T00:00:00"/>
    <s v="Networking "/>
    <n v="15"/>
    <n v="70"/>
    <s v="Great turnout as usual, got to speak and advertise the MCM on 7/17 as well as parking promo, the city of Lake Elsinore is working on branding the city and hope to make more efforts to bring in tourism and want to potentially partner with the airport when that time comes."/>
    <s v="Sadie Gribbon"/>
    <m/>
    <n v="0.21428571428571427"/>
  </r>
  <r>
    <x v="2"/>
    <s v="Riverside Chamber- GMR"/>
    <d v="2023-06-08T00:00:00"/>
    <s v="Networking "/>
    <n v="10"/>
    <n v="70"/>
    <s v="Great presentations and got to network at the table I sat with. "/>
    <s v="Paredez, Emily "/>
    <s v="Ontario"/>
    <n v="0.14285714285714285"/>
  </r>
  <r>
    <x v="2"/>
    <s v="Brea Chamber: Good Morning, Brea!"/>
    <d v="2024-10-24T00:00:00"/>
    <s v="Networking"/>
    <n v="5"/>
    <n v="70"/>
    <s v="Huge crowd, and this only their 2nd time hosting this event. Will definitely consider sponsoring one of the future breakfasts."/>
    <s v="Connie Royal"/>
    <s v="Brea"/>
    <n v="7.1428571428571425E-2"/>
  </r>
  <r>
    <x v="2"/>
    <s v="Claremont Installation Dinner"/>
    <d v="2023-06-02T00:00:00"/>
    <s v="Networking"/>
    <n v="20"/>
    <n v="72"/>
    <s v="Great shout outs for ONT as sponsor and Board member"/>
    <s v="Steph"/>
    <s v="Ontario"/>
    <n v="0.27777777777777779"/>
  </r>
  <r>
    <x v="2"/>
    <s v="*Speaking*Beaumont Chamber of Commerce "/>
    <d v="2025-02-14T00:00:00"/>
    <s v="Presenting"/>
    <n v="75"/>
    <n v="75"/>
    <m/>
    <s v="Jennifer Contreras"/>
    <s v="Beaumont"/>
    <n v="1"/>
  </r>
  <r>
    <x v="2"/>
    <s v="Mayor's Prayer Breakfast "/>
    <d v="2024-05-02T00:00:00"/>
    <s v="Networking "/>
    <n v="75"/>
    <n v="75"/>
    <s v="Well attended event with a set agenda, but great place to make connections. "/>
    <s v="Jennifer Contreras "/>
    <m/>
    <n v="1"/>
  </r>
  <r>
    <x v="2"/>
    <s v="Redlands Chamber Rise and Shine "/>
    <d v="2024-01-05T00:00:00"/>
    <s v="Networking"/>
    <n v="75"/>
    <n v="75"/>
    <s v="Requested to speak about 5k event and was added to presentation/agenda. "/>
    <s v="Jenny Contreras "/>
    <m/>
    <n v="1"/>
  </r>
  <r>
    <x v="2"/>
    <s v="CBA Summer Luau"/>
    <d v="2024-09-26T00:00:00"/>
    <s v="Booth "/>
    <n v="50"/>
    <n v="75"/>
    <s v="Definitely smaller than the Spring one; maybe it was because the host (La Habra Chamber) hosted it in a small courtyard? We'll see how the winter one is."/>
    <s v="Connie Royal, Jordie Annen"/>
    <s v="La Habra"/>
    <n v="0.66666666666666663"/>
  </r>
  <r>
    <x v="2"/>
    <s v="Multi Chamebr Mixer"/>
    <d v="2023-05-18T00:00:00"/>
    <s v="Networking"/>
    <n v="50"/>
    <n v="75"/>
    <s v="Great networking with mltiple chambers"/>
    <s v="Steph"/>
    <s v="Ontario"/>
    <n v="0.66666666666666663"/>
  </r>
  <r>
    <x v="2"/>
    <s v="Arcadia Rise and Shine"/>
    <d v="2024-04-18T00:00:00"/>
    <s v="Networking "/>
    <n v="25"/>
    <n v="75"/>
    <s v="Completely sold out, very fun and a ton of opporutnities to network. Prioritize this every month. 30 second spot to speak every evetn, multiple breaks to get up and network not all just at once. Bring a door prixe and get there early to drop it off for the business card raffle. Great community connections and organization leaders."/>
    <s v="Sadie Gribbon "/>
    <m/>
    <n v="0.33333333333333331"/>
  </r>
  <r>
    <x v="2"/>
    <s v="Chamber Day at Angels Stadium"/>
    <d v="2025-09-10T00:00:00"/>
    <s v="Networking"/>
    <n v="20"/>
    <n v="75"/>
    <s v="Big turnout but it's open networking and walking around so I tried to get around to as many tables and people as I could!"/>
    <s v="Connie Royal"/>
    <s v="OC"/>
    <n v="0.26666666666666666"/>
  </r>
  <r>
    <x v="2"/>
    <s v="Brea Chamber: Good Morning, Brea!"/>
    <d v="2025-10-23T00:00:00"/>
    <s v="Networking"/>
    <n v="18"/>
    <n v="75"/>
    <m/>
    <s v="Connie Royal"/>
    <s v="Brea"/>
    <n v="0.24"/>
  </r>
  <r>
    <x v="2"/>
    <s v="Redlands Rise and Shine "/>
    <d v="2023-11-03T00:00:00"/>
    <s v="Networking "/>
    <n v="15"/>
    <n v="75"/>
    <s v="Well attended event. Since they do not do self introductions, reccomend taking door prize to get exposure."/>
    <s v="Contreras, Jennifer "/>
    <s v="Ontario"/>
    <n v="0.2"/>
  </r>
  <r>
    <x v="2"/>
    <s v="Placentia State of the City"/>
    <d v="2025-09-25T00:00:00"/>
    <s v="Networking"/>
    <n v="12"/>
    <n v="75"/>
    <m/>
    <s v="Connie Royal"/>
    <s v="Placentia"/>
    <n v="0.16"/>
  </r>
  <r>
    <x v="2"/>
    <s v="La Habra Chamber 84th Annual Members' Choice Awards &amp; Installation Dinner"/>
    <d v="2025-07-30T00:00:00"/>
    <s v="Networking"/>
    <n v="10"/>
    <n v="75"/>
    <m/>
    <s v="Connie Royal"/>
    <s v="La Habra"/>
    <n v="0.13333333333333333"/>
  </r>
  <r>
    <x v="2"/>
    <s v="Brea Chamber: Good Morning, Brea!"/>
    <d v="2025-04-24T00:00:00"/>
    <s v="Networking"/>
    <n v="10"/>
    <n v="75"/>
    <m/>
    <s v="Connie Royal"/>
    <s v="Brea"/>
    <n v="0.13333333333333333"/>
  </r>
  <r>
    <x v="2"/>
    <s v="Women Rising Leadership Academy - Brea Chamber"/>
    <d v="2025-05-02T00:00:00"/>
    <s v="Networking"/>
    <n v="8"/>
    <n v="75"/>
    <m/>
    <s v="Connie Royal"/>
    <s v="Brea"/>
    <n v="0.10666666666666667"/>
  </r>
  <r>
    <x v="2"/>
    <s v="Brea Chamber: Good Morning, Brea!"/>
    <d v="2025-01-23T00:00:00"/>
    <s v="Networking"/>
    <n v="5"/>
    <n v="75"/>
    <s v="This was the 4th time the chamber has met in this format (early in the morning) and it gets bigger and bigger every month. I think we should consider sponsoring that way we can have a table there."/>
    <s v="Connie Royal"/>
    <s v="Brea"/>
    <n v="6.6666666666666666E-2"/>
  </r>
  <r>
    <x v="2"/>
    <s v="Women Rising Leadership Academy"/>
    <d v="2024-11-01T00:00:00"/>
    <s v="Networking"/>
    <n v="5"/>
    <n v="75"/>
    <m/>
    <s v="Connie Royal"/>
    <s v="Brea"/>
    <n v="6.6666666666666666E-2"/>
  </r>
  <r>
    <x v="2"/>
    <s v="Placentia Chamber's Best of Placentia Awards Lunch"/>
    <d v="2024-09-13T00:00:00"/>
    <s v="Networking"/>
    <n v="5"/>
    <n v="75"/>
    <s v="This was the first time this chamber has held a &quot;best of&quot; awards luncheon. It was very well attended, but the program was a little disorganized and it was very hard to hear. Ultimately I don't think I'd attend this particular event again because I only interacted with a few people and didn't feel like I was able to network effectively."/>
    <s v="Connie Royal"/>
    <s v="Placentia"/>
    <n v="6.6666666666666666E-2"/>
  </r>
  <r>
    <x v="2"/>
    <s v="Regional Chamber of Commerce - SGV: Diamond Bar Mayor's Prayer Breakfast"/>
    <d v="2024-05-02T00:00:00"/>
    <s v="Networking"/>
    <n v="5"/>
    <n v="75"/>
    <s v="This was the first prayer breakfast the Chamber has put on since COVID. It was very well attended with city and regional leaders and of course, lots of local spiritual leaders. I was only able to converse with folks at my table because of the set program."/>
    <s v="Connie Royal"/>
    <m/>
    <n v="6.6666666666666666E-2"/>
  </r>
  <r>
    <x v="2"/>
    <s v="Wake Up Whittier"/>
    <d v="2024-04-17T00:00:00"/>
    <s v="Networking"/>
    <n v="5"/>
    <n v="75"/>
    <s v="Very well attended event - and this is how it is every month for their Wake Up Whittier breakfast! I definitely want to attend another meeting and continue to assess whether it's a community we should direct some CE attention to."/>
    <s v="Connie Royal"/>
    <m/>
    <n v="6.6666666666666666E-2"/>
  </r>
  <r>
    <x v="2"/>
    <s v="Networking at Noon"/>
    <d v="2025-08-29T00:00:00"/>
    <s v="Networking "/>
    <n v="80"/>
    <n v="80"/>
    <m/>
    <s v="Sadie Gribbon"/>
    <s v="Arcadia"/>
    <n v="1"/>
  </r>
  <r>
    <x v="2"/>
    <s v="Business Over Breakfast"/>
    <d v="2025-08-12T00:00:00"/>
    <s v="Networking "/>
    <n v="80"/>
    <n v="80"/>
    <m/>
    <s v="Sadie Gribbon"/>
    <s v="Claremont"/>
    <n v="1"/>
  </r>
  <r>
    <x v="2"/>
    <s v="Arcadia Rise and Shine"/>
    <d v="2025-07-17T00:00:00"/>
    <s v="Networking"/>
    <n v="80"/>
    <n v="80"/>
    <m/>
    <s v="Sadie Gribbon"/>
    <s v="Arcadia"/>
    <n v="1"/>
  </r>
  <r>
    <x v="2"/>
    <s v="Claremont Business Over Breakfast"/>
    <d v="2025-05-13T00:00:00"/>
    <s v="Networking"/>
    <n v="80"/>
    <n v="80"/>
    <m/>
    <s v="Sadie Gribbon"/>
    <s v="Claremont"/>
    <n v="1"/>
  </r>
  <r>
    <x v="2"/>
    <s v="Claremont Business Over Breakfast"/>
    <d v="2024-11-12T00:00:00"/>
    <s v="Networking"/>
    <n v="80"/>
    <n v="80"/>
    <m/>
    <s v="Sadie Gribbon"/>
    <s v="Claremont"/>
    <n v="1"/>
  </r>
  <r>
    <x v="2"/>
    <s v="Hump Day Morning Mixer Lake Elsinore"/>
    <d v="2024-10-09T00:00:00"/>
    <s v="Networking "/>
    <n v="80"/>
    <n v="80"/>
    <s v="Had an opportunity to talk in front of the entire crowd about ONT, always a great turnout, a lot of political issues happening in Lake Elsinore + Riv county right now so the recent chamber events have had a really weird vibe."/>
    <s v="Sadie Gribbon"/>
    <s v="Lake Elsinore"/>
    <n v="1"/>
  </r>
  <r>
    <x v="2"/>
    <s v="Wake Up Whittier"/>
    <d v="2024-09-18T00:00:00"/>
    <s v="Networking "/>
    <n v="80"/>
    <n v="80"/>
    <s v="Wake up whittier announced our joining with the chamber and had my introduce myself. Multiple people came up to me afterwords excited that we are a port of the community."/>
    <s v="Jordie Annen"/>
    <s v="Whittier"/>
    <n v="1"/>
  </r>
  <r>
    <x v="2"/>
    <s v="Wake Up Menifee"/>
    <d v="2024-09-17T00:00:00"/>
    <s v="Networking "/>
    <n v="80"/>
    <n v="80"/>
    <s v="Always a great turnout, Mayor Bill Zimmerman id always happy to see ONT in Menifee and have made a lot of great connections with city and chamber leadership. Had 1 minute to talk about ONT in front of the entire group and field questions."/>
    <s v="Sadie Gribbon"/>
    <s v="Menifee"/>
    <n v="1"/>
  </r>
  <r>
    <x v="2"/>
    <s v="Claremont Chamber Breakfast"/>
    <d v="2024-09-10T00:00:00"/>
    <s v="Networking "/>
    <n v="80"/>
    <n v="80"/>
    <s v="Ended up speaking about YTD pax numbers, summer travel and valet for about four minutes and got a lot f airtime so that ws great. Not as big of a turnout as usual but healthy, will pick up as summer season comes to an end"/>
    <s v="Sadie Gribbon"/>
    <s v="Claremont"/>
    <n v="1"/>
  </r>
  <r>
    <x v="2"/>
    <s v="*Speaking* Claremont Business Over Breakfast"/>
    <d v="2024-07-09T00:00:00"/>
    <s v="Presenting "/>
    <n v="80"/>
    <n v="80"/>
    <s v="Directror of the Chamber, Randy Lopez, has really adopted the &quot;SoCal So Easy&quot; tagline"/>
    <s v="Stephanie King and Sadie Gribbon"/>
    <s v="Claremont"/>
    <n v="1"/>
  </r>
  <r>
    <x v="2"/>
    <s v="Fontana Chamber Lunch "/>
    <d v="2024-10-10T00:00:00"/>
    <s v="Networking "/>
    <n v="10"/>
    <n v="80"/>
    <m/>
    <m/>
    <s v="Fontana"/>
    <n v="0.125"/>
  </r>
  <r>
    <x v="2"/>
    <s v="City of Norco Bridge Ribbon Cutting, Attended with Norco Chamber"/>
    <d v="2024-08-26T00:00:00"/>
    <s v="Networking "/>
    <n v="10"/>
    <n v="80"/>
    <s v="Ribbon Cutting and dedication of the new bridge that connects Norco and Eastvale. Invite was sent out by the Norco Chamber to attend. It was very nice to see both cities come together for this event. "/>
    <s v="Jordie Annen"/>
    <s v="Norco"/>
    <n v="0.125"/>
  </r>
  <r>
    <x v="2"/>
    <s v="Whittier Chamber Wake up Whittier"/>
    <d v="2024-10-16T00:00:00"/>
    <s v="Networking "/>
    <n v="8"/>
    <n v="80"/>
    <m/>
    <m/>
    <s v="Whittier"/>
    <n v="0.1"/>
  </r>
  <r>
    <x v="2"/>
    <s v="Fontana Chamber Network Lunch"/>
    <d v="2024-08-27T00:00:00"/>
    <s v="Networking "/>
    <n v="8"/>
    <n v="80"/>
    <s v="For this event you are sitting at a table getting to know the people you are sitting with. These events are growing a lot! "/>
    <s v="Jordie Annen"/>
    <s v="Fontana"/>
    <n v="0.1"/>
  </r>
  <r>
    <x v="2"/>
    <s v="Fontana Chamber Luncheon"/>
    <d v="2024-05-14T00:00:00"/>
    <s v="Networking "/>
    <n v="6"/>
    <n v="80"/>
    <s v="Fontana Chamber is growing every month. They introduced almost 10 more businesses into the chamber for this event. Now that I have been to two of these, I think that bringing a door prize would be a great idea."/>
    <s v="Jordie Salvador"/>
    <m/>
    <n v="7.4999999999999997E-2"/>
  </r>
  <r>
    <x v="2"/>
    <s v="Women Rising Leadership Academy - Brea Chamber"/>
    <d v="2025-03-14T00:00:00"/>
    <s v="Networking"/>
    <n v="5"/>
    <n v="80"/>
    <m/>
    <s v="Connie Royal"/>
    <s v="Brea"/>
    <n v="6.25E-2"/>
  </r>
  <r>
    <x v="2"/>
    <s v="Women Rising Leadership Academy - Brea Chamber"/>
    <d v="2025-01-10T00:00:00"/>
    <s v="Networking"/>
    <n v="5"/>
    <n v="80"/>
    <m/>
    <s v="Connie Royal"/>
    <s v="Brea"/>
    <n v="6.25E-2"/>
  </r>
  <r>
    <x v="2"/>
    <s v="Redlands Chamber Rise &amp; Shine"/>
    <d v="2024-10-04T00:00:00"/>
    <s v="Networking "/>
    <n v="3"/>
    <n v="80"/>
    <s v="This event is more of an information on the coming month, not much time for networking."/>
    <m/>
    <s v="Redlands"/>
    <n v="3.7499999999999999E-2"/>
  </r>
  <r>
    <x v="2"/>
    <s v="Claremont Business Over Breakfast"/>
    <d v="2025-10-14T00:00:00"/>
    <s v="Networking"/>
    <n v="90"/>
    <n v="90"/>
    <m/>
    <s v="Sadie Gribbon"/>
    <s v="Claremont"/>
    <n v="1"/>
  </r>
  <r>
    <x v="2"/>
    <s v="Claremont Business Over Breakfast"/>
    <d v="2025-09-09T00:00:00"/>
    <s v="Networking "/>
    <n v="90"/>
    <n v="90"/>
    <m/>
    <s v="Sadie Gribbon"/>
    <s v="Claremont"/>
    <n v="1"/>
  </r>
  <r>
    <x v="2"/>
    <s v="Business Over Breakfast Claremont Chamber"/>
    <d v="2025-03-11T00:00:00"/>
    <s v="Networking "/>
    <n v="90"/>
    <n v="90"/>
    <m/>
    <s v="Sadie Gribbon"/>
    <s v="Claremont"/>
    <n v="1"/>
  </r>
  <r>
    <x v="2"/>
    <s v="ONT Field Event"/>
    <d v="2025-09-03T00:00:00"/>
    <s v="Networking "/>
    <n v="100"/>
    <n v="100"/>
    <m/>
    <s v="CE Team "/>
    <s v="Ontario "/>
    <n v="1"/>
  </r>
  <r>
    <x v="2"/>
    <s v="Business Over Breakfast Claremont Chamber"/>
    <d v="2025-04-08T00:00:00"/>
    <s v="Networking "/>
    <n v="100"/>
    <n v="100"/>
    <s v="Was able to connect with a travel planner, Susan, who is going to connect me with her travel planning consortium."/>
    <s v="Sadie Gribbon"/>
    <s v="Claremont"/>
    <n v="1"/>
  </r>
  <r>
    <x v="2"/>
    <s v="Whittier Chamber- Wake up Whittier"/>
    <d v="2024-08-21T00:00:00"/>
    <s v="Networking "/>
    <n v="100"/>
    <n v="100"/>
    <s v="Wake up whittier was a great networking event. Because we are joining the chamber I was able to introduce myself to all the attendees."/>
    <s v="Jordie Annen"/>
    <s v="Whittier"/>
    <n v="1"/>
  </r>
  <r>
    <x v="2"/>
    <s v="Rise and Shine Arcadia Chamber"/>
    <d v="2023-03-16T00:00:00"/>
    <s v="Networking"/>
    <n v="100"/>
    <n v="100"/>
    <s v="Great turn out and really fun event. They created a program that helped teams interact to create a fun networking environment. Great connections!"/>
    <s v="Paredez, Emily"/>
    <s v="Ontario"/>
    <n v="1"/>
  </r>
  <r>
    <x v="2"/>
    <s v="Arcadia Chamber Mixer"/>
    <d v="2023-02-21T00:00:00"/>
    <s v="Networking "/>
    <n v="85"/>
    <n v="100"/>
    <s v="Great chamber and a large mixer event. Definetly should join this chamber they are active and everyone had good things to say. Several ONT fans here as well and were surprised to see us there "/>
    <s v="Paredez, Emily/ Rehmani, Ain"/>
    <s v="Ontario"/>
    <n v="0.85"/>
  </r>
  <r>
    <x v="2"/>
    <s v="GOCVB Lunch"/>
    <d v="2023-04-20T00:00:00"/>
    <s v="Networking"/>
    <n v="35"/>
    <n v="100"/>
    <s v="Good networking, long program"/>
    <s v="Steph"/>
    <s v="Ontario"/>
    <n v="0.35"/>
  </r>
  <r>
    <x v="2"/>
    <s v="Chino Salute to Public Safety"/>
    <d v="2022-03-23T00:00:00"/>
    <s v="Network"/>
    <n v="30"/>
    <n v="100"/>
    <s v="Good engagement and opportunity to network"/>
    <s v="Steph, Priscilla"/>
    <s v="Ontario"/>
    <n v="0.3"/>
  </r>
  <r>
    <x v="2"/>
    <s v="Placentia Chamber Power Networking Lunch"/>
    <d v="2025-04-25T00:00:00"/>
    <s v="Networking"/>
    <n v="25"/>
    <n v="100"/>
    <m/>
    <s v="Connie Royal"/>
    <s v="Placentia"/>
    <n v="0.25"/>
  </r>
  <r>
    <x v="2"/>
    <s v="San Gabriel Chamber Networking Breakfast"/>
    <d v="2024-04-26T00:00:00"/>
    <s v="Networking "/>
    <n v="25"/>
    <n v="100"/>
    <s v="Highly attended breakfast, offers 30 min in the beginning to network and plenty of spotlights to the businesses in the room during the breakfast. This would be a great group to get in front of during the breakfast since they do not have a speaking opportunity at their monthly luncheons."/>
    <s v="Sadie Gribbon and Connie Royal"/>
    <m/>
    <n v="0.25"/>
  </r>
  <r>
    <x v="2"/>
    <s v="GOBC Holiday Luncheon &amp; Installation"/>
    <d v="2023-01-18T00:00:00"/>
    <s v="Networking"/>
    <n v="25"/>
    <n v="100"/>
    <s v="Not a huge turn-out for Installations but networked with good people"/>
    <s v="Steph/Emily/Ain"/>
    <s v="Ontario"/>
    <n v="0.25"/>
  </r>
  <r>
    <x v="2"/>
    <s v="Fontana Monthly Membership Luncheon"/>
    <d v="2026-04-13T00:00:00"/>
    <s v="Networking "/>
    <n v="20"/>
    <n v="100"/>
    <s v="They did not do introductions this time to introduce ourselves. There was some time after to network, but mostly the program."/>
    <s v="Paredez, Emily"/>
    <s v="Ontario"/>
    <n v="0.2"/>
  </r>
  <r>
    <x v="2"/>
    <s v="Regional SGV Chamber: Women Leading the Way - An Impactful Luncheon Event"/>
    <d v="2025-10-16T00:00:00"/>
    <s v="Networking"/>
    <n v="20"/>
    <n v="100"/>
    <m/>
    <s v="Connie Royal"/>
    <s v="Diamond Bar"/>
    <n v="0.2"/>
  </r>
  <r>
    <x v="2"/>
    <s v="Glendora Chamber Board Installation Dinner"/>
    <d v="2025-06-25T00:00:00"/>
    <s v="Networking "/>
    <n v="20"/>
    <n v="100"/>
    <m/>
    <s v="Paredez, Emily"/>
    <s v="Glendora"/>
    <n v="0.2"/>
  </r>
  <r>
    <x v="2"/>
    <s v="Chino state of the city"/>
    <d v="2025-06-11T00:00:00"/>
    <s v="Networking "/>
    <n v="20"/>
    <n v="100"/>
    <m/>
    <s v="Paredez, Emily"/>
    <s v="Chino Valley"/>
    <n v="0.2"/>
  </r>
  <r>
    <x v="2"/>
    <s v="Chino Valley Business Awards"/>
    <d v="2024-07-25T00:00:00"/>
    <s v="Networking "/>
    <n v="20"/>
    <n v="100"/>
    <s v="Networked and spoke in front of the audience"/>
    <s v="Paredez, Emily, Sadie, Jordie, Steph"/>
    <s v="Chino Valley"/>
    <n v="0.2"/>
  </r>
  <r>
    <x v="2"/>
    <s v="Wake Up Moreno Valley"/>
    <d v="2024-07-24T00:00:00"/>
    <s v="Networking "/>
    <n v="20"/>
    <n v="100"/>
    <s v="The event started late so I had a lot of time to netywork and meet a lot of folks ranging form the president of MVCC, to city officiailas and business owners. Was offered opp to speak but we need to become member and this is not an area near our secondary catchment zone that we are currently focusing on. ***Make sure to stay after to help Janet after these events sine she ends up being one of the only people putting the equiptment away and she is elderly."/>
    <s v="Sadie Gribbon"/>
    <s v="Moreno Valley"/>
    <n v="0.2"/>
  </r>
  <r>
    <x v="2"/>
    <s v="Beaumont Installation Dinner"/>
    <d v="2022-01-27T00:00:00"/>
    <s v="Network"/>
    <n v="20"/>
    <n v="100"/>
    <s v="Chamber wasn't well enough established for us to join"/>
    <s v="Steph"/>
    <s v="Ontario"/>
    <n v="0.2"/>
  </r>
  <r>
    <x v="2"/>
    <s v="Wake Up Moreno Valley"/>
    <d v="2024-08-28T00:00:00"/>
    <s v="Networking "/>
    <n v="15"/>
    <n v="100"/>
    <s v="This is always a great turnout, still no push to have us join, their breakfast sponsor/speaker schedule is booked out to 2027 which shows great participation but there are a lot of great connections from around the county in attendance at each event."/>
    <s v="Sadie Gribbon"/>
    <s v="Moreno Valley"/>
    <n v="0.15"/>
  </r>
  <r>
    <x v="2"/>
    <s v="Lake Elsinore Hump Day Morning Mixer"/>
    <d v="2024-07-10T00:00:00"/>
    <s v="Networking "/>
    <n v="15"/>
    <n v="100"/>
    <s v="Did not get to do the 30 second elevator pitch per usual due to the number of guests in attendance, great turnout as always, found another group in Lake Elsinore (similar to a YPN) to speak at, receieved a lot of positive feedback and comments on SAN airport that were not positive."/>
    <s v="Sadie Gribbon"/>
    <s v="Lake Elsinore"/>
    <n v="0.15"/>
  </r>
  <r>
    <x v="2"/>
    <s v="Foothill Transit Mixer"/>
    <d v="2024-04-17T00:00:00"/>
    <s v="Networking "/>
    <n v="15"/>
    <n v="100"/>
    <s v="Solid multi-mixer, multiple city officials from all cities participating. Connected with a lot of transportation reps. Would reccommend a similar event again."/>
    <s v="Sadie Gribbon and Emily Paradez"/>
    <m/>
    <n v="0.15"/>
  </r>
  <r>
    <x v="2"/>
    <s v="Wake Up Moreno Valley"/>
    <d v="2024-03-27T00:00:00"/>
    <s v="Networking "/>
    <n v="15"/>
    <n v="100"/>
    <s v="Welcomed me as a guest, amazing turnout, 300+ total businesses in the chamber, a lot dignitaries for the city and county in the room, opportunity for raffle giveaway each week if you are a member only, definitley prioritize this event."/>
    <s v="Sadie Gribbon"/>
    <m/>
    <n v="0.15"/>
  </r>
  <r>
    <x v="2"/>
    <s v="AMOC-Night at the Museum Pomona Chamber"/>
    <d v="2023-01-12T00:00:00"/>
    <s v="Networking"/>
    <n v="14"/>
    <n v="100"/>
    <s v="Large range of chamber members and good turnout. Most questions were about tours."/>
    <s v="Paredez, Emily/ Rehmani, Ain"/>
    <s v="Ontario"/>
    <n v="0.14000000000000001"/>
  </r>
  <r>
    <x v="2"/>
    <s v="Eastvale Chamber Fire and Police Appreciation"/>
    <d v="2023-12-12T00:00:00"/>
    <s v="Networking "/>
    <n v="12"/>
    <n v="100"/>
    <s v="Networked with my table and this event had a great attendance. "/>
    <s v="Paredez, Emily "/>
    <s v="Ontario"/>
    <n v="0.12"/>
  </r>
  <r>
    <x v="2"/>
    <s v="Good Morning Riverside Chamber "/>
    <d v="2026-04-13T00:00:00"/>
    <s v="Networking"/>
    <n v="10"/>
    <n v="100"/>
    <s v="Big turn out and the chamber has a lot of new projects happening in the area. "/>
    <s v="Paredez, Emily "/>
    <s v="Ontario"/>
    <n v="0.1"/>
  </r>
  <r>
    <x v="2"/>
    <s v="CVLC Graduation Breakfast"/>
    <d v="2025-08-28T00:00:00"/>
    <s v="Networking "/>
    <n v="10"/>
    <n v="100"/>
    <m/>
    <s v="Emily Paredez and Juleen Erives"/>
    <s v="Chino/Chino Hills"/>
    <n v="0.1"/>
  </r>
  <r>
    <x v="2"/>
    <s v="Fontana Monthly Membership Luncheon"/>
    <d v="2024-01-11T00:00:00"/>
    <s v="Networking"/>
    <n v="10"/>
    <n v="100"/>
    <s v="Great crowd but limited opportunities to network because it is based around the program"/>
    <s v="Paredez, Emily "/>
    <m/>
    <n v="0.1"/>
  </r>
  <r>
    <x v="2"/>
    <s v="Pomona Chamber of Commerce- Heroes Luncheon"/>
    <d v="2023-12-07T00:00:00"/>
    <s v="Networking "/>
    <n v="10"/>
    <n v="100"/>
    <s v="Didnt have the best seat but very well attended. Got the opportunity to network with my table."/>
    <s v="Paredez, Emily "/>
    <s v="Ontario"/>
    <n v="0.1"/>
  </r>
  <r>
    <x v="2"/>
    <s v="Glendora Chamber of Commerce- Holiday Mixer"/>
    <d v="2023-12-06T00:00:00"/>
    <s v="Networking "/>
    <n v="10"/>
    <n v="100"/>
    <s v="First time attending this event and loved it. Very well planned and a great turnout. I recommend again next year."/>
    <s v="Paredez, Emily "/>
    <s v="Ontario"/>
    <n v="0.1"/>
  </r>
  <r>
    <x v="2"/>
    <s v="Pomona Board Installation"/>
    <d v="2023-07-13T00:00:00"/>
    <s v="Networking "/>
    <n v="10"/>
    <n v="100"/>
    <s v="Smaller event than I was expecting, but met great connections here!"/>
    <s v="Paredez, Emily "/>
    <s v="Ontario"/>
    <n v="0.1"/>
  </r>
  <r>
    <x v="2"/>
    <s v="Fontana Chamber- Monthly luncheon"/>
    <d v="2023-06-08T00:00:00"/>
    <s v="Networking "/>
    <n v="10"/>
    <n v="100"/>
    <s v="Always a good crowd at this event. Saw several connections from other chambers and all have great things to say about ONT"/>
    <s v="Paredez, Emily "/>
    <s v="Ontario"/>
    <n v="0.1"/>
  </r>
  <r>
    <x v="2"/>
    <s v="Chino State of the City"/>
    <d v="2023-05-10T00:00:00"/>
    <s v="Networking "/>
    <n v="10"/>
    <n v="100"/>
    <s v="A lot of elected officials and minimal networking opportunities"/>
    <s v="Paredez, Emily "/>
    <s v="Ontario"/>
    <n v="0.1"/>
  </r>
  <r>
    <x v="2"/>
    <s v="Chino Valley Holiday Luncheon"/>
    <d v="2021-12-08T00:00:00"/>
    <s v="Attend lunch/network"/>
    <n v="10"/>
    <n v="100"/>
    <s v="Tickets came with annual sponsorship; good event to attend"/>
    <s v="Steph, Priscilla"/>
    <s v="Ontario"/>
    <n v="0.1"/>
  </r>
  <r>
    <x v="2"/>
    <s v="Fontana Monthly Membership Luncheon"/>
    <m/>
    <s v="Networking "/>
    <n v="10"/>
    <n v="100"/>
    <s v="Networked with the table I sat with. This event ended really quick this time. "/>
    <s v="Paredez, Emily "/>
    <s v="Ontario"/>
    <n v="0.1"/>
  </r>
  <r>
    <x v="2"/>
    <s v="Best of Placentia Awards - Placentia Chamber"/>
    <d v="2025-05-09T00:00:00"/>
    <s v="Networking"/>
    <n v="8"/>
    <n v="100"/>
    <m/>
    <s v="Connie Royal"/>
    <s v="Placentia"/>
    <n v="0.08"/>
  </r>
  <r>
    <x v="2"/>
    <s v="Fontana Chamber Luncheon"/>
    <d v="2024-04-11T00:00:00"/>
    <s v="Networking "/>
    <n v="8"/>
    <n v="100"/>
    <s v="Good Turn out with a lot of new members recognised. Would be a good spot for a presentation. "/>
    <s v="Jordie Salvador"/>
    <m/>
    <n v="0.08"/>
  </r>
  <r>
    <x v="2"/>
    <s v="Fontana Monthly Membership Luncheon"/>
    <d v="2024-02-08T00:00:00"/>
    <s v="Networking"/>
    <n v="7"/>
    <n v="100"/>
    <s v="big turnout but based around the program"/>
    <s v="Paredez, Emily "/>
    <m/>
    <n v="7.0000000000000007E-2"/>
  </r>
  <r>
    <x v="2"/>
    <s v="Fontana Chamber of Commerce"/>
    <d v="2023-11-09T00:00:00"/>
    <s v="Networking "/>
    <n v="7"/>
    <n v="100"/>
    <s v="Event is based around the program, but got the opportunity to network after with a few people and people at my table. "/>
    <s v="Paredez, Emily "/>
    <s v="Ontario"/>
    <n v="7.0000000000000007E-2"/>
  </r>
  <r>
    <x v="2"/>
    <s v="Eastvale National Day of Prayer"/>
    <d v="2023-05-04T00:00:00"/>
    <s v="Networking "/>
    <n v="5"/>
    <n v="100"/>
    <s v="The event was based around the program, but had a few moments to network at the table "/>
    <s v="Paredez, Emily "/>
    <s v="Ontario"/>
    <n v="0.05"/>
  </r>
  <r>
    <x v="2"/>
    <s v="Regional Chamber SGV Veteran's Day Luncheon"/>
    <d v="2024-11-08T00:00:00"/>
    <s v="Networking"/>
    <n v="8"/>
    <n v="110"/>
    <m/>
    <s v="Connie Royal"/>
    <s v="Walnut"/>
    <n v="7.2727272727272724E-2"/>
  </r>
  <r>
    <x v="2"/>
    <s v="Arcadia Rise and Shine"/>
    <d v="2024-12-19T00:00:00"/>
    <s v="Networking "/>
    <n v="120"/>
    <n v="120"/>
    <m/>
    <s v="Sadie Gribbon"/>
    <s v="Arcadia"/>
    <n v="1"/>
  </r>
  <r>
    <x v="2"/>
    <s v="Rancho Cucamonga Chamber Vintner's Gala"/>
    <d v="2024-11-01T00:00:00"/>
    <s v="Networking"/>
    <n v="120"/>
    <n v="120"/>
    <m/>
    <s v="Connie Royal, Emily Paredez, Stephanie King"/>
    <s v="Rancho Cucamonga"/>
    <n v="1"/>
  </r>
  <r>
    <x v="2"/>
    <s v="CBA Summer Mixer - North OC Chambers, hosted by Placentia CoC"/>
    <d v="2025-06-25T00:00:00"/>
    <s v="Booth "/>
    <n v="80"/>
    <n v="120"/>
    <m/>
    <s v="Connie Royal, Sadie Gribbon"/>
    <s v="Placentia"/>
    <n v="0.66666666666666663"/>
  </r>
  <r>
    <x v="2"/>
    <s v="Claremont Business Over Breakfast"/>
    <d v="2025-06-10T00:00:00"/>
    <s v="Networking "/>
    <n v="20"/>
    <n v="120"/>
    <m/>
    <s v="Sadie Gribbon, Connie Royal"/>
    <s v="Claremont"/>
    <n v="0.16666666666666666"/>
  </r>
  <r>
    <x v="2"/>
    <s v="Redlands Chamber Rise and Shine"/>
    <d v="2025-10-03T00:00:00"/>
    <s v="Networking "/>
    <n v="125"/>
    <n v="125"/>
    <m/>
    <s v="Juleen Erives "/>
    <s v="Redlands"/>
    <n v="1"/>
  </r>
  <r>
    <x v="2"/>
    <s v="Chamber Business Alliance (CBA) Spring Mixer"/>
    <d v="2024-03-08T00:00:00"/>
    <s v="Booth "/>
    <n v="100"/>
    <n v="125"/>
    <s v="Multiple chambers attended, very crowded and made great connections with folks who came by our table. They loved our swag and loved having us there. Definitely should booth their summer mixer!"/>
    <s v="Jenny Contreras and Connie Royal "/>
    <m/>
    <n v="0.8"/>
  </r>
  <r>
    <x v="2"/>
    <s v="2024 Mega Mix Expo @ Southern California Edison"/>
    <d v="2024-03-28T00:00:00"/>
    <s v="Networking "/>
    <n v="20"/>
    <n v="125"/>
    <s v="Multiple chambers attended, sold out event with tours of parts of the facility and a majority of the event time was spent networking and mingling. Great opportunity to reach multiple catchment areas at once, highly reccommend going to the next one."/>
    <s v="Gribbon, Sadie, Salvador, Jordie, Paredez, Emily"/>
    <m/>
    <n v="0.16"/>
  </r>
  <r>
    <x v="2"/>
    <s v="Redlands Chamber Rise and Shine"/>
    <d v="2025-11-07T00:00:00"/>
    <s v="Networking"/>
    <n v="15"/>
    <n v="125"/>
    <m/>
    <s v="Juleen Erives"/>
    <s v="Redlands"/>
    <n v="0.12"/>
  </r>
  <r>
    <x v="2"/>
    <s v="Good Morning Riverside "/>
    <d v="2024-08-08T00:00:00"/>
    <s v="Networking "/>
    <n v="12"/>
    <n v="125"/>
    <s v="Well attended event, but difficult to network since there is a set agenda. Must arrive early or stay after to make connections. "/>
    <s v="Jennifer Contreras "/>
    <s v="Riverside"/>
    <n v="9.6000000000000002E-2"/>
  </r>
  <r>
    <x v="2"/>
    <s v="Claremont Business Over Breakfast"/>
    <d v="2025-01-14T00:00:00"/>
    <s v="Networking "/>
    <n v="140"/>
    <n v="140"/>
    <s v="The  hamber runs a memberhsip drive from Jan-Mar and there are typically many more attendees. Prioritize being at the breakfasts for those months. "/>
    <s v=" "/>
    <s v="Claremont"/>
    <n v="1"/>
  </r>
  <r>
    <x v="2"/>
    <s v="Riverside Chamber- Good Morning Riverside "/>
    <d v="2025-09-11T00:00:00"/>
    <s v="Networking "/>
    <n v="150"/>
    <n v="150"/>
    <m/>
    <s v="Jennifer Contreras"/>
    <s v="Riverside"/>
    <n v="1"/>
  </r>
  <r>
    <x v="2"/>
    <s v="SGV Multi-Chamber Mixer Holiday Party"/>
    <d v="2024-12-12T00:00:00"/>
    <s v="Networking "/>
    <n v="150"/>
    <n v="150"/>
    <s v="Brought a raffle basket so was able to have the opportunity to speak and have ONT's name out there while calling the raffle ticket. This was a huge event and a great mixer, but the raffle was about an hour long so make sure to bring an item if you go because a lot of the time of the event was taken up by the rasffle items."/>
    <s v="Sadie Gribbon"/>
    <s v="San Gabriel"/>
    <n v="1"/>
  </r>
  <r>
    <x v="2"/>
    <s v="Good Morning Corona "/>
    <d v="2024-04-18T00:00:00"/>
    <s v="Networking "/>
    <n v="150"/>
    <n v="150"/>
    <s v="Always a great turn out but difficult to network since event has a set agenda "/>
    <s v="Jenny Contreras "/>
    <m/>
    <n v="1"/>
  </r>
  <r>
    <x v="2"/>
    <s v="Corona Chamber Good Morning Breakfast  "/>
    <d v="2024-01-12T00:00:00"/>
    <s v="Booth "/>
    <n v="150"/>
    <n v="150"/>
    <s v="Utilized free booth opportunity from membership benefit. Great way to quickly promote event. "/>
    <s v="Contreras, Jenny and Paredez, Emily "/>
    <m/>
    <n v="1"/>
  </r>
  <r>
    <x v="2"/>
    <s v="Annual District Attorney Update with DA Mike Hestrin"/>
    <d v="2023-02-16T00:00:00"/>
    <s v="Networking "/>
    <n v="150"/>
    <n v="150"/>
    <s v="Great event, Great Engagement and connections. Into'd Self and ONT to the group as a whole. Great information from the DA"/>
    <s v="Paredez, Emily "/>
    <s v="Ontario"/>
    <n v="1"/>
  </r>
  <r>
    <x v="2"/>
    <s v="CBA Mixer - North OC Chambers, hosted by Brea CoC"/>
    <d v="2025-03-27T00:00:00"/>
    <s v="Booth "/>
    <n v="100"/>
    <n v="150"/>
    <m/>
    <s v="Sadie Gribbon and Connie Royal"/>
    <s v="Brea"/>
    <n v="0.66666666666666663"/>
  </r>
  <r>
    <x v="2"/>
    <s v="Glendora State of the City"/>
    <d v="2023-03-16T00:00:00"/>
    <s v="Networking"/>
    <n v="50"/>
    <n v="150"/>
    <s v="Smaller turnout than I was expecting, but great connections here. Networked with the chamber members."/>
    <s v="Paredez, Emily "/>
    <s v="Ontario"/>
    <n v="0.33333333333333331"/>
  </r>
  <r>
    <x v="2"/>
    <s v="Good Morning Riverside"/>
    <d v="2023-03-08T00:00:00"/>
    <s v="Networking"/>
    <n v="50"/>
    <n v="150"/>
    <s v="Large attendance for a morning event. The event was focused around the program, but some slight networking opportunities"/>
    <s v="Paredez, Emily "/>
    <s v="Ontario"/>
    <n v="0.33333333333333331"/>
  </r>
  <r>
    <x v="2"/>
    <s v="Good Morning Corona"/>
    <d v="2022-04-22T00:00:00"/>
    <s v="Manage booth/network"/>
    <n v="45"/>
    <n v="150"/>
    <s v="Not sure if sponsoring booth was beneficial"/>
    <s v="Priscilla, Steph"/>
    <s v="Ontario"/>
    <n v="0.3"/>
  </r>
  <r>
    <x v="2"/>
    <s v="Multi Chamber Mixer"/>
    <d v="2025-08-14T00:00:00"/>
    <s v="Networking "/>
    <n v="30"/>
    <n v="150"/>
    <m/>
    <s v="Sadie Gribbon"/>
    <s v="Arcadia"/>
    <n v="0.2"/>
  </r>
  <r>
    <x v="2"/>
    <s v="Anaheim Chamber Ducks Luncheon"/>
    <d v="2025-01-22T00:00:00"/>
    <s v="Networking "/>
    <n v="30"/>
    <n v="150"/>
    <s v="YES to this/any signature event Anaheim puts on. A bit pricey for a lunch but Visit Anaheim, Supervisors, council members, and bigger Anaheim business owners are in the house where they typically are not for the monthly lunches and breakfasts. Ample networking time, do not reccommend being a sponsor for this event they were not highlighted well."/>
    <s v="Sadie Gribbon"/>
    <s v="Anaheim"/>
    <n v="0.2"/>
  </r>
  <r>
    <x v="2"/>
    <s v="Chino State of the City"/>
    <d v="2022-02-22T00:00:00"/>
    <s v="Network"/>
    <n v="30"/>
    <n v="150"/>
    <s v="Good engagement and opportunity to network"/>
    <s v="Steph"/>
    <s v="Ontario"/>
    <n v="0.2"/>
  </r>
  <r>
    <x v="2"/>
    <s v="Multi-Chamber Mixer Night at Anaheim Angels"/>
    <d v="2024-09-16T00:00:00"/>
    <s v="Networking "/>
    <n v="25"/>
    <n v="150"/>
    <s v="This was a great multi-chamber mixer. A solid 2 hours of networking before the game in the rose garden. Angels CE was excited to meet ONT and connect. Had a lot of members form multiple OC chambers come up to me to talk and was able to really engage with a lot of OC chambers in one place."/>
    <s v="Sadie Gribbon"/>
    <s v="Anaheim"/>
    <n v="0.16666666666666666"/>
  </r>
  <r>
    <x v="2"/>
    <s v="Good Morning Riverside"/>
    <d v="2024-05-09T00:00:00"/>
    <s v="Presenting "/>
    <n v="25"/>
    <n v="150"/>
    <s v="Great turnout but difficult to network because it is a set agenda. Must arrive early to network or linger around after to introduce yourself. "/>
    <s v="Jennifer Contreras "/>
    <m/>
    <n v="0.16666666666666666"/>
  </r>
  <r>
    <x v="2"/>
    <s v="Corona Chamber- Good Morning Corona "/>
    <d v="2025-09-18T00:00:00"/>
    <s v="Networking "/>
    <n v="22"/>
    <n v="150"/>
    <m/>
    <s v="Jennifer Contreras"/>
    <s v="Corona "/>
    <n v="0.14666666666666667"/>
  </r>
  <r>
    <x v="2"/>
    <s v="Good Morning Corona "/>
    <d v="2025-10-16T00:00:00"/>
    <s v="Networking "/>
    <n v="21"/>
    <n v="150"/>
    <m/>
    <s v="Jennifer Contreras"/>
    <s v="Corona "/>
    <n v="0.14000000000000001"/>
  </r>
  <r>
    <x v="2"/>
    <s v="Pomona Chamber of Commerce"/>
    <d v="2023-07-26T00:00:00"/>
    <s v="Networking "/>
    <n v="15"/>
    <n v="150"/>
    <s v="I attended this Mixer as a member of Pomona and got to connect with other chambers that are in our target areas. "/>
    <s v="Paredez, Emily "/>
    <s v="Ontario"/>
    <n v="0.1"/>
  </r>
  <r>
    <x v="2"/>
    <s v="VIP Reception at Fogo De Chao"/>
    <d v="2025-10-22T00:00:00"/>
    <s v="Networking "/>
    <n v="10"/>
    <n v="150"/>
    <m/>
    <s v="Emily Paredez and Sadie Gribbon"/>
    <s v="Rancho Cucamonga "/>
    <n v="6.6666666666666666E-2"/>
  </r>
  <r>
    <x v="2"/>
    <s v="Women Rising Leadership Academy"/>
    <d v="2024-12-06T00:00:00"/>
    <s v="Other"/>
    <n v="5"/>
    <n v="150"/>
    <m/>
    <s v="Connie Royal"/>
    <s v="Brea"/>
    <n v="3.3333333333333333E-2"/>
  </r>
  <r>
    <x v="2"/>
    <s v="Riverside Chamber of Commerce"/>
    <d v="2023-10-12T00:00:00"/>
    <s v="Networking "/>
    <n v="5"/>
    <n v="150"/>
    <s v="Sent a raffle basket to the chamber. This event is always big but not alot of networking its set around the program. Alot of people leave right after."/>
    <s v="Paredez, Emily "/>
    <s v="Ontario"/>
    <n v="3.3333333333333333E-2"/>
  </r>
  <r>
    <x v="2"/>
    <s v="*Speaking* Greater High Desert Chamber Valley Morning Insight"/>
    <d v="2024-02-07T00:00:00"/>
    <s v="Presentation "/>
    <n v="175"/>
    <n v="175"/>
    <s v="Well attended by local leaders. I reccomend joining chamber!"/>
    <s v="Jenny Contreras "/>
    <m/>
    <n v="1"/>
  </r>
  <r>
    <x v="2"/>
    <s v="Good Morning Corona "/>
    <d v="2023-08-17T00:00:00"/>
    <s v="Networking "/>
    <n v="25"/>
    <n v="175"/>
    <s v="Event has a set program, but it was well attended and made great connections. "/>
    <s v="Contreras, Jennifer "/>
    <s v="Ontario"/>
    <n v="0.14285714285714285"/>
  </r>
  <r>
    <x v="2"/>
    <s v="Chino Valley Chamber Business Awards"/>
    <d v="2021-10-13T00:00:00"/>
    <s v="Attend Dinner/network/accept award"/>
    <n v="25"/>
    <n v="175"/>
    <s v="Difficult venue to network"/>
    <s v="Steph"/>
    <s v="Ontario"/>
    <n v="0.14285714285714285"/>
  </r>
  <r>
    <x v="2"/>
    <s v="Greater High Desert- Valley Morning Insight Breakfast"/>
    <d v="2024-10-02T00:00:00"/>
    <s v="Networking"/>
    <n v="20"/>
    <n v="175"/>
    <m/>
    <s v="Jennifer Contreras "/>
    <s v="Greater High Desert"/>
    <n v="0.11428571428571428"/>
  </r>
  <r>
    <x v="2"/>
    <s v="Valley Morning Insight "/>
    <d v="2025-10-01T00:00:00"/>
    <s v="Networking"/>
    <n v="18"/>
    <n v="175"/>
    <m/>
    <s v="Jennifer Contreras"/>
    <s v="Greater High Desert"/>
    <n v="0.10285714285714286"/>
  </r>
  <r>
    <x v="2"/>
    <s v="Greater High Desert- Valley Morning Insight "/>
    <d v="2025-08-06T00:00:00"/>
    <s v="Networking "/>
    <n v="18"/>
    <n v="175"/>
    <m/>
    <s v="Jennifer Contreras"/>
    <s v="Greater High Desert"/>
    <n v="0.10285714285714286"/>
  </r>
  <r>
    <x v="2"/>
    <s v="Greater High Desert Chamber Valley Morning Insight "/>
    <d v="2024-05-01T00:00:00"/>
    <s v="Networking "/>
    <n v="200"/>
    <n v="200"/>
    <s v="Well attended and even though there is a set agenda they build time within program to have attendees network. "/>
    <s v="Jennifer Contreras "/>
    <m/>
    <n v="1"/>
  </r>
  <r>
    <x v="2"/>
    <s v="Greater High Desert Chamber Valley Morning Insight "/>
    <d v="2024-04-03T00:00:00"/>
    <s v="Networking "/>
    <n v="200"/>
    <n v="200"/>
    <s v="Always well attended and great place to make connections "/>
    <s v="Jenny Contreras "/>
    <m/>
    <n v="1"/>
  </r>
  <r>
    <x v="2"/>
    <s v="Good Morning Corona "/>
    <d v="2024-03-21T00:00:00"/>
    <s v="Networking "/>
    <n v="200"/>
    <n v="200"/>
    <s v="Well attended but event is a set agenda making it difficult to promote ONT. "/>
    <s v="Jenny Contreras, Jordan Salvador "/>
    <m/>
    <n v="1"/>
  </r>
  <r>
    <x v="2"/>
    <s v="RC Chamber Vintners Gala"/>
    <d v="2021-11-05T00:00:00"/>
    <s v="Network"/>
    <n v="60"/>
    <n v="200"/>
    <s v="Good engagement"/>
    <s v="Steph"/>
    <s v="Ontario"/>
    <n v="0.3"/>
  </r>
  <r>
    <x v="2"/>
    <s v="Chino Valley Salute to Public Safety"/>
    <d v="2023-04-04T00:00:00"/>
    <s v="Networking"/>
    <n v="50"/>
    <n v="200"/>
    <s v="Not alot of time for networking, but was a great event! "/>
    <s v="Paredez, Emily"/>
    <s v="Ontario"/>
    <n v="0.25"/>
  </r>
  <r>
    <x v="2"/>
    <s v="RC Chamber Vintners Gala"/>
    <d v="2022-11-04T00:00:00"/>
    <s v="Network"/>
    <n v="50"/>
    <n v="200"/>
    <s v="Good engagement and opportunity to network"/>
    <s v="Steph"/>
    <s v="Ontario"/>
    <n v="0.25"/>
  </r>
  <r>
    <x v="2"/>
    <s v="Eastvale State of the City"/>
    <d v="2021-10-07T00:00:00"/>
    <s v="State of City Presenation"/>
    <n v="50"/>
    <n v="200"/>
    <s v="Good event/worth sponsorship"/>
    <s v="Priscilla, Steph"/>
    <s v="Ontario"/>
    <n v="0.25"/>
  </r>
  <r>
    <x v="2"/>
    <s v="Multi Chamber Mixer"/>
    <d v="2025-08-14T00:00:00"/>
    <s v="Networking "/>
    <n v="30"/>
    <n v="200"/>
    <m/>
    <s v="Emily Paredez"/>
    <s v="La Verne"/>
    <n v="0.15"/>
  </r>
  <r>
    <x v="2"/>
    <s v="Multi Chamber Mixer"/>
    <d v="2025-08-12T00:00:00"/>
    <s v="Networking "/>
    <n v="25"/>
    <n v="200"/>
    <m/>
    <s v="Sadie Gribbon"/>
    <s v="La Verne"/>
    <n v="0.125"/>
  </r>
  <r>
    <x v="2"/>
    <s v="Greater High Desert Chamber- Valley Morning Insight Breakfast"/>
    <d v="2024-12-04T00:00:00"/>
    <s v="Networking"/>
    <n v="25"/>
    <n v="200"/>
    <m/>
    <s v="Jennifer Contreras "/>
    <s v="Greater High Desert"/>
    <n v="0.125"/>
  </r>
  <r>
    <x v="2"/>
    <s v="Corona Chamber- Good Morning Corona "/>
    <d v="2024-10-17T00:00:00"/>
    <s v="Networking"/>
    <n v="25"/>
    <n v="200"/>
    <m/>
    <s v="Jennifer Contreras "/>
    <s v="Corona"/>
    <n v="0.125"/>
  </r>
  <r>
    <x v="2"/>
    <s v="Good Morning Corona "/>
    <d v="2024-09-19T00:00:00"/>
    <s v="Networking"/>
    <n v="25"/>
    <n v="200"/>
    <m/>
    <s v="Jennifer Contreras "/>
    <s v="Corona"/>
    <n v="0.125"/>
  </r>
  <r>
    <x v="2"/>
    <s v="Good Morning Corona "/>
    <d v="2024-06-20T00:00:00"/>
    <s v="Networking"/>
    <n v="20"/>
    <n v="200"/>
    <s v="This event has a set agenda so it can be difficult to network outside. Most networking takes place before or after the event."/>
    <s v="Jennifer Contreras "/>
    <m/>
    <n v="0.1"/>
  </r>
  <r>
    <x v="2"/>
    <s v="High Desert- Valley Morning Insight "/>
    <d v="2024-06-05T00:00:00"/>
    <s v="Networking "/>
    <n v="20"/>
    <n v="200"/>
    <s v="Well attended but must arrive early and stay later to network since it is a set agenda. "/>
    <s v="Jennifer Contreras "/>
    <m/>
    <n v="0.1"/>
  </r>
  <r>
    <x v="2"/>
    <s v="Greater High Desert Chamber- Valley Morning Insight "/>
    <d v="2025-09-03T00:00:00"/>
    <s v="Networking "/>
    <n v="18"/>
    <n v="200"/>
    <m/>
    <s v="Jennifer Contreras"/>
    <s v="Victorville"/>
    <n v="0.09"/>
  </r>
  <r>
    <x v="2"/>
    <s v="Corona Chamber- Good Morning Corona "/>
    <d v="2025-02-20T00:00:00"/>
    <s v="Networking "/>
    <n v="10"/>
    <n v="200"/>
    <m/>
    <s v="Jennifer Contreras"/>
    <s v="Corona"/>
    <n v="0.05"/>
  </r>
  <r>
    <x v="2"/>
    <s v="Good Morning Corona "/>
    <d v="2025-01-16T00:00:00"/>
    <s v="Networking "/>
    <n v="10"/>
    <n v="200"/>
    <m/>
    <s v="Jennifer Contreras"/>
    <s v="Corona"/>
    <n v="0.05"/>
  </r>
  <r>
    <x v="2"/>
    <s v="GOBC Visions Event"/>
    <d v="2023-02-24T00:00:00"/>
    <s v="Networking "/>
    <n v="10"/>
    <n v="200"/>
    <s v="El"/>
    <s v="Rehmani, Ain "/>
    <s v="Ontario"/>
    <n v="0.05"/>
  </r>
  <r>
    <x v="2"/>
    <s v="Chino Valley Chamber Economic Forecast"/>
    <d v="2021-07-22T00:00:00"/>
    <s v="Joint Chamber luncheon"/>
    <n v="10"/>
    <n v="200"/>
    <s v="Included Chino, Brea, and otherRC/OC chambers"/>
    <s v="Steph, Priscilla"/>
    <s v="Ontario"/>
    <n v="0.05"/>
  </r>
  <r>
    <x v="2"/>
    <s v="Eastvale state of the city"/>
    <d v="2023-10-05T00:00:00"/>
    <s v="Networking "/>
    <n v="6"/>
    <n v="200"/>
    <s v="Open to the public which made it hard to network. Not enough seating and kinda unorganized."/>
    <s v="Paredez, Emily "/>
    <s v="Ontario"/>
    <n v="0.03"/>
  </r>
  <r>
    <x v="2"/>
    <s v="Eastvale Chamber Board installation"/>
    <d v="2023-07-27T00:00:00"/>
    <s v="Networking "/>
    <n v="0"/>
    <n v="200"/>
    <s v="We were nominated for an award and got to network at my table"/>
    <s v="Paredez, Emily "/>
    <s v="Ontario"/>
    <n v="0"/>
  </r>
  <r>
    <x v="2"/>
    <s v="Greater High Desert- Valley Morning Insight "/>
    <d v="2025-04-02T00:00:00"/>
    <s v="Networking "/>
    <n v="20"/>
    <n v="225"/>
    <m/>
    <s v="Jennifer Contreras"/>
    <s v="Greater High Desert"/>
    <n v="8.8888888888888892E-2"/>
  </r>
  <r>
    <x v="2"/>
    <s v="Placentia Chamber/Brother's on a Quest Golf Fore a Cure Event"/>
    <d v="2025-09-22T00:00:00"/>
    <s v="Networking"/>
    <n v="25"/>
    <n v="250"/>
    <s v="I went last year and this was their second year and it was even bigger!"/>
    <s v="Connie Royal"/>
    <s v="Placentia"/>
    <n v="0.1"/>
  </r>
  <r>
    <x v="2"/>
    <s v="Good Morning Corona "/>
    <d v="2024-02-22T00:00:00"/>
    <s v="Networking"/>
    <n v="25"/>
    <n v="250"/>
    <s v="More attendees than usual since the speaker was the Riverside County Supervisor. It would be a great event to have a booth at in the future. "/>
    <s v="Jenny Contreras "/>
    <m/>
    <n v="0.1"/>
  </r>
  <r>
    <x v="2"/>
    <s v="Good Morning Corona "/>
    <d v="2024-11-14T00:00:00"/>
    <s v="Networking"/>
    <n v="20"/>
    <n v="250"/>
    <s v="Great event but difficult to network since it is a set agenda. You need to arrive early to network or stay after"/>
    <s v="Jennifer Contreras "/>
    <s v="Corona"/>
    <n v="0.08"/>
  </r>
  <r>
    <x v="2"/>
    <s v="Greater High Desert Valley Morning Insight Breakfast "/>
    <d v="2024-09-04T00:00:00"/>
    <s v="Networking "/>
    <n v="20"/>
    <n v="250"/>
    <m/>
    <s v="Jennifer Contreras "/>
    <s v="Greater High Desert"/>
    <n v="0.08"/>
  </r>
  <r>
    <x v="2"/>
    <s v="Greater High Desert Chamber- Valley Morning Insight "/>
    <d v="2024-03-05T00:00:00"/>
    <s v="Networking "/>
    <n v="20"/>
    <n v="250"/>
    <m/>
    <s v="Jennifer Contreras"/>
    <s v="Greater High Desert"/>
    <n v="0.08"/>
  </r>
  <r>
    <x v="2"/>
    <s v="Corona Chamber- Good Morning Corona "/>
    <d v="2025-07-17T00:00:00"/>
    <s v="Networking "/>
    <n v="12"/>
    <n v="250"/>
    <m/>
    <s v="Jennifer Contreras"/>
    <s v="Corona"/>
    <n v="4.8000000000000001E-2"/>
  </r>
  <r>
    <x v="2"/>
    <s v="Placentia Chamber &quot;Golf for a Cure&quot; Banquet Dinner"/>
    <d v="2024-09-23T00:00:00"/>
    <s v="Networking"/>
    <n v="10"/>
    <n v="250"/>
    <s v="This was the first golf tournament the chamber held, and it was a fantastic turnout. The organizers were really happy to have me there and I received a lot of great feedback about the airport."/>
    <s v="Connie Royal"/>
    <s v="Placentia"/>
    <n v="0.04"/>
  </r>
  <r>
    <x v="2"/>
    <s v="*Speaking* Chino Valley/Ontario Women Conference"/>
    <d v="2024-08-29T00:00:00"/>
    <s v="Presenting/Booth"/>
    <n v="300"/>
    <n v="300"/>
    <s v="Steph on panel filling in for Elisa"/>
    <m/>
    <s v="Chino Valley"/>
    <n v="1"/>
  </r>
  <r>
    <x v="2"/>
    <s v="*Atif Speaking* Good Morning Corona "/>
    <d v="2024-08-15T00:00:00"/>
    <s v="Presenting/Booth"/>
    <n v="300"/>
    <n v="300"/>
    <m/>
    <s v="Jennifer Contreras and Sadie Gribbon"/>
    <s v="Corona"/>
    <n v="1"/>
  </r>
  <r>
    <x v="2"/>
    <s v="Multi Chamber Mixer"/>
    <d v="2023-05-31T00:00:00"/>
    <s v="MCM for business community"/>
    <n v="300"/>
    <n v="300"/>
    <m/>
    <m/>
    <s v="Ontario"/>
    <n v="1"/>
  </r>
  <r>
    <x v="2"/>
    <s v="Murrieta All Chamber Mixer"/>
    <d v="2022-03-31T00:00:00"/>
    <s v="Manage booth/network"/>
    <n v="100"/>
    <n v="300"/>
    <s v="Good engagement"/>
    <s v="Steph, Priscilla"/>
    <s v="Ontario"/>
    <n v="0.33333333333333331"/>
  </r>
  <r>
    <x v="2"/>
    <s v="Vintners Gala"/>
    <d v="2023-11-03T00:00:00"/>
    <s v="Networking "/>
    <n v="6"/>
    <n v="300"/>
    <s v="Attended this event with Stephanie and Annie"/>
    <s v="King, Stephanie, Paredez, Emily"/>
    <s v="Ontario"/>
    <n v="0.02"/>
  </r>
  <r>
    <x v="2"/>
    <s v="2024 Economic Forecast"/>
    <d v="2024-07-11T00:00:00"/>
    <s v="Networking"/>
    <n v="3"/>
    <n v="300"/>
    <s v="Very hard to network at this event because it was a set program/presentation. The economic forecast presentation was interesting thought, and ONT got a mention (when he talked about how travel numbers are up)"/>
    <s v="Connie Royal, Emily Paredez, and Jenny Contreras"/>
    <s v="San Gabriel"/>
    <n v="0.01"/>
  </r>
  <r>
    <x v="2"/>
    <s v="Riverside County Women's Leadership Conference"/>
    <d v="2025-09-30T00:00:00"/>
    <s v="Booth "/>
    <n v="308"/>
    <n v="308"/>
    <m/>
    <s v="Jennifer Contreras and Juleen Erives"/>
    <s v="Corona "/>
    <n v="1"/>
  </r>
  <r>
    <x v="2"/>
    <s v="3rd Annual Multi Chamber Mixer"/>
    <d v="2024-07-17T00:00:00"/>
    <s v="Bringing the Community into ONT"/>
    <n v="313"/>
    <n v="313"/>
    <m/>
    <m/>
    <s v="Ontario"/>
    <n v="1"/>
  </r>
  <r>
    <x v="2"/>
    <s v="17th Annual Women in Business "/>
    <d v="2023-09-27T00:00:00"/>
    <s v="Booth set up with promo"/>
    <n v="150"/>
    <n v="350"/>
    <s v="Well attended event. Tables are set up in ballroom so a lot of foot traffic. "/>
    <s v="Contreras, Jennifer and Paredez, Emily "/>
    <s v="Ontario"/>
    <n v="0.42857142857142855"/>
  </r>
  <r>
    <x v="2"/>
    <s v="ONT's 4th Annual Multi Chamber Mixer"/>
    <d v="2025-04-30T00:00:00"/>
    <s v="Bring community to ONT, educate the community about ONT's history, current and new routes, proximity, create engagement and excitement about the airport, track and measure where ONT can improve, receive feedback on route requests"/>
    <n v="400"/>
    <n v="400"/>
    <s v="See Asana project for after action notes"/>
    <s v="Emily"/>
    <s v="Ontario"/>
    <n v="1"/>
  </r>
  <r>
    <x v="2"/>
    <s v="Taste of Brea"/>
    <d v="2024-05-23T00:00:00"/>
    <s v="Booth "/>
    <n v="400"/>
    <n v="400"/>
    <s v="Great turnout, about 400 people, and we weren't even on the main strip. If we can get on the main strip next year, I think we'll get even more engagements. It's a fun family event, definitely need to participate again!"/>
    <s v="Connie Royal and Jordan Salvador"/>
    <m/>
    <n v="1"/>
  </r>
  <r>
    <x v="2"/>
    <s v="Fontana State of the City Event"/>
    <d v="2023-02-16T00:00:00"/>
    <s v="Networking "/>
    <n v="100"/>
    <n v="400"/>
    <s v="Amazing event, large audience, and several hours to network. This Chamber does very well"/>
    <s v="Paredez, Emily "/>
    <s v="Ontario"/>
    <n v="0.25"/>
  </r>
  <r>
    <x v="2"/>
    <s v="OC State of the County"/>
    <d v="2024-08-09T00:00:00"/>
    <s v="Networking"/>
    <n v="15"/>
    <n v="400"/>
    <s v="Even though it was a seated luncheon and program, there was plenty of time before and after to network, and I met loads of people from various parts of OC. In my networking, I found that people were surprised that a rep from ONT came all the way down there, and I actually received a lot of comments of, &quot;Well I like ONT better than John Wayne Airport, I just forget about it sometimes when I book a flight&quot;. A lot of OC folks told me they don't particular care for the short runway and curfew of SNA either. I also thought it was a bit of healthy competition to be in SNA's territory, feeling like keep your friends close, keep your enemies closer type of vibe lol! I think there could be a way to either sponsor this event next year or definitely have more ONT CE team members attend so we're walking in with full force to remind people of why ONT is so much better than John Wayne."/>
    <s v="Connie Royal"/>
    <s v="Newport Beach"/>
    <n v="3.7499999999999999E-2"/>
  </r>
  <r>
    <x v="2"/>
    <s v="Murrieta/Wildomar Chamber Awards Gala "/>
    <d v="2024-09-14T00:00:00"/>
    <s v="Networking"/>
    <n v="450"/>
    <n v="450"/>
    <s v="Great free promotion anytime ONT is nominated for an award"/>
    <s v="Jennifer Contreras "/>
    <s v="murrieta"/>
    <n v="1"/>
  </r>
  <r>
    <x v="2"/>
    <s v="San Gabriel Dumpling &amp; Beer Festival"/>
    <d v="2025-10-03T00:00:00"/>
    <s v="Booth "/>
    <n v="479"/>
    <n v="479"/>
    <m/>
    <s v="Connie and Jennifer "/>
    <s v="San Gabriel "/>
    <n v="1"/>
  </r>
  <r>
    <x v="2"/>
    <s v="Chamber Mega Mixer"/>
    <d v="2025-12-30T00:00:00"/>
    <s v="Booth "/>
    <n v="350"/>
    <n v="500"/>
    <m/>
    <m/>
    <s v="Lake Elsinore"/>
    <n v="0.7"/>
  </r>
  <r>
    <x v="2"/>
    <s v="Chino Valley Business Expo"/>
    <d v="2021-09-25T00:00:00"/>
    <s v="Manage booth/network"/>
    <n v="310"/>
    <n v="500"/>
    <s v="Need better branding for booths ie signs, backdrop"/>
    <s v="Steph, Priscilla"/>
    <s v="Ontario"/>
    <n v="0.62"/>
  </r>
  <r>
    <x v="2"/>
    <s v="18th Annual Women in Business Conference"/>
    <d v="2024-08-29T00:00:00"/>
    <s v="Booth"/>
    <n v="250"/>
    <n v="500"/>
    <s v="Always well attended"/>
    <s v="Jennifer Contreras "/>
    <s v="Temecula"/>
    <n v="0.5"/>
  </r>
  <r>
    <x v="2"/>
    <s v="Riverside County Women's Leadership Conference "/>
    <d v="2023-09-14T00:00:00"/>
    <s v="Networking "/>
    <n v="30"/>
    <n v="500"/>
    <s v="Well attended event. We should consider sponsoring or being a vendor in 2024."/>
    <s v="Contreras, Jennifer "/>
    <s v="Ontario"/>
    <n v="0.06"/>
  </r>
  <r>
    <x v="2"/>
    <s v="All Chamber Mega Mixer"/>
    <d v="2024-01-18T00:00:00"/>
    <s v="Booth "/>
    <n v="500"/>
    <n v="800"/>
    <s v="Well attended event. Only sponsors have reserved tabels. If you don't arrive on time you get a table at the end. "/>
    <s v="CE Team "/>
    <m/>
    <n v="0.625"/>
  </r>
  <r>
    <x v="2"/>
    <s v="Temecula Valley Chamber of Commerce 58th Annual Gala"/>
    <d v="2024-04-06T00:00:00"/>
    <s v="Networking "/>
    <n v="0"/>
    <n v="800"/>
    <s v="Large production put together by the chamber. Although we were not selected as a winner of business of the year, it was still great promo. I like to think of this event as a chamber event for the real estate industry across the inland empire (realtors, title, loan officers, investors, housing developers, etc...)"/>
    <s v="Jenny Contreras and Sadie Gribbon"/>
    <m/>
    <n v="0"/>
  </r>
  <r>
    <x v="2"/>
    <s v="Arcadia Moon Festival"/>
    <d v="2025-10-04T00:00:00"/>
    <s v="Booth "/>
    <n v="827"/>
    <n v="827"/>
    <m/>
    <s v="Sadie Gribbon, Juleen Erives, Kathleen Cramer"/>
    <s v="Arcadia"/>
    <n v="1"/>
  </r>
  <r>
    <x v="2"/>
    <s v="Taste of Placentia"/>
    <d v="2024-08-15T00:00:00"/>
    <s v="Booth"/>
    <n v="400"/>
    <n v="1000"/>
    <s v="Awesome event, and lots of networking with OC folks who I've met at other events. We received really great feedback from the community about ONT and I think we should make this an annual event."/>
    <s v="Connie Royal and Jordie Annen"/>
    <s v="Placentia"/>
    <n v="0.4"/>
  </r>
  <r>
    <x v="2"/>
    <s v="Claremont Village Venture"/>
    <d v="2022-10-22T00:00:00"/>
    <s v="Booth"/>
    <n v="400"/>
    <n v="1000"/>
    <s v="Great enagement "/>
    <s v="Steph"/>
    <s v="Ontario"/>
    <n v="0.4"/>
  </r>
  <r>
    <x v="2"/>
    <s v="Ontario State of the City"/>
    <d v="2023-03-22T00:00:00"/>
    <s v="Networking"/>
    <n v="10"/>
    <n v="1000"/>
    <s v="Large attendance and alot of representation from ONT"/>
    <s v="Emily/Steph"/>
    <s v="Ontario"/>
    <n v="0.01"/>
  </r>
  <r>
    <x v="2"/>
    <s v="Village Venture"/>
    <d v="2024-10-26T00:00:00"/>
    <s v="Booth "/>
    <n v="2150"/>
    <n v="2150"/>
    <s v="Great turnout as usual. Shift 1 in the AM needs to have 4 people, shift 2 was fine with 3 people (afternoon was busy but sustainable). The tote bag activation was a hit, poeple were excited about taking surveys and lining up for the tote bags. A lot of comments about the gold line coming thorugh Claremont and that Kurt needs to try and get it to have a stop at the airport. Make sure there is a back wall for the EZ-Up - people will reach from behind. Would be fine with just a medium sized bucket of all promo EXCEPT FOR gliders and stress planes (pack full bin of those)."/>
    <s v="Sadie Gribbon"/>
    <s v="Claremont"/>
    <n v="1"/>
  </r>
  <r>
    <x v="3"/>
    <s v="Redlands Rotary "/>
    <d v="2022-03-17T00:00:00"/>
    <s v="Network/Present"/>
    <n v="35"/>
    <n v="0"/>
    <m/>
    <s v="Priscilla"/>
    <s v="Ontario"/>
    <e v="#DIV/0!"/>
  </r>
  <r>
    <x v="3"/>
    <s v="*Speaking* Corona Circle City Kiwanis"/>
    <d v="2025-10-21T00:00:00"/>
    <s v="Speaking "/>
    <n v="15"/>
    <n v="0"/>
    <m/>
    <s v="Jennifer Contreras"/>
    <s v="Corona "/>
    <e v="#DIV/0!"/>
  </r>
  <r>
    <x v="3"/>
    <s v="Whittier Lions Club"/>
    <m/>
    <s v="Presenting"/>
    <n v="10"/>
    <n v="0"/>
    <m/>
    <m/>
    <s v="Whittier"/>
    <e v="#DIV/0!"/>
  </r>
  <r>
    <x v="3"/>
    <s v="*Speaking*French Valley Rotary Group "/>
    <d v="2025-11-20T00:00:00"/>
    <s v="Speaking "/>
    <n v="0"/>
    <n v="0"/>
    <m/>
    <m/>
    <s v="Winchester "/>
    <e v="#DIV/0!"/>
  </r>
  <r>
    <x v="3"/>
    <s v="San Dimas Rotary"/>
    <d v="2024-12-04T00:00:00"/>
    <s v="Presentng"/>
    <n v="4"/>
    <n v="4"/>
    <s v="Not worth prioritizing"/>
    <s v="Paredez, Emily "/>
    <s v="San Dimas"/>
    <n v="1"/>
  </r>
  <r>
    <x v="3"/>
    <s v="*Speaking* †Wildomar†Rotary Club"/>
    <d v="2024-09-24T00:00:00"/>
    <s v="Networking "/>
    <n v="5"/>
    <n v="5"/>
    <s v="Smaller group, but information was well received "/>
    <s v="Jennifer Contreras "/>
    <s v="Murrieta"/>
    <n v="1"/>
  </r>
  <r>
    <x v="3"/>
    <s v="*Speaking* Norco Kiwanis Club"/>
    <d v="2024-06-19T00:00:00"/>
    <s v="Presenting "/>
    <n v="6"/>
    <n v="6"/>
    <s v="Small group. They loved the presentation and said that they learned a lot!"/>
    <s v="Jordie Annen"/>
    <m/>
    <n v="1"/>
  </r>
  <r>
    <x v="3"/>
    <s v="Eastvale Rotary Club"/>
    <d v="2024-11-14T00:00:00"/>
    <s v="Presenting"/>
    <n v="7"/>
    <n v="7"/>
    <s v="small crowd, not worth redoing next year"/>
    <s v="Paredez, Emily "/>
    <s v="Eastvale"/>
    <n v="1"/>
  </r>
  <r>
    <x v="3"/>
    <s v="Walnut Valley Kiwanis"/>
    <d v="2024-05-07T00:00:00"/>
    <s v="Networking"/>
    <n v="7"/>
    <n v="7"/>
    <s v="Small but mighty group! They normally are about a group of 15 so they're not big at all, but they are definitely an organization who's meetings I will continue to attend because they are very active in the Walnut Valley/Diamond Bar community."/>
    <s v="Connie Royal"/>
    <m/>
    <n v="1"/>
  </r>
  <r>
    <x v="3"/>
    <s v="Brea Kiwanis Club Meeting"/>
    <d v="2024-04-04T00:00:00"/>
    <s v="Networking"/>
    <n v="7"/>
    <n v="7"/>
    <s v="Very small group, and this amount is their norm. Their membership rate is declining unfortunately. However, they are still incredibly active and they still put on events and support various programs in the Brea community. I will remain in communication with them to see how we can partner on future events."/>
    <s v="Connie Royal"/>
    <m/>
    <n v="1"/>
  </r>
  <r>
    <x v="3"/>
    <s v="Walnut Valley Rotary Club"/>
    <d v="2023-10-17T00:00:00"/>
    <s v="Presenting"/>
    <n v="7"/>
    <n v="7"/>
    <s v="Very small crowd and unorganized, but it was a positive because I was able to have a very in depth conversation about ONT through this presentation. "/>
    <s v="Paredez, Emily "/>
    <s v="Ontario"/>
    <n v="1"/>
  </r>
  <r>
    <x v="3"/>
    <s v="San Dimas Rotary "/>
    <d v="2023-07-05T00:00:00"/>
    <s v="Presenting"/>
    <n v="7"/>
    <n v="7"/>
    <s v="small crowd "/>
    <s v="Paredez, Emily "/>
    <s v="Ontario"/>
    <n v="1"/>
  </r>
  <r>
    <x v="3"/>
    <s v="Walnut Valley Kiwanis Club"/>
    <d v="2025-09-23T00:00:00"/>
    <s v="Networking"/>
    <n v="8"/>
    <n v="8"/>
    <m/>
    <s v="Connie Royal"/>
    <s v="Walnut"/>
    <n v="1"/>
  </r>
  <r>
    <x v="3"/>
    <s v="West Covina Rotary Club"/>
    <d v="2025-08-13T00:00:00"/>
    <s v="Networking"/>
    <n v="8"/>
    <n v="8"/>
    <m/>
    <s v="Connie Royal and Juleen Erives"/>
    <s v="West Covina"/>
    <n v="1"/>
  </r>
  <r>
    <x v="3"/>
    <s v="Walnut Valley Kiwanis Club"/>
    <d v="2025-03-04T00:00:00"/>
    <s v="Networking"/>
    <n v="8"/>
    <n v="8"/>
    <m/>
    <s v="Connie Royal"/>
    <s v="Walnut"/>
    <n v="1"/>
  </r>
  <r>
    <x v="3"/>
    <s v="Walnut Valley Kiwanis"/>
    <d v="2024-06-18T00:00:00"/>
    <s v="Networking"/>
    <n v="8"/>
    <n v="8"/>
    <s v="Small group, but great opportunity to network. This is my second time attending this group's meeting, and they are very involved in the community."/>
    <s v="Connie Royal"/>
    <m/>
    <n v="1"/>
  </r>
  <r>
    <x v="3"/>
    <s v="*Speaking* San Jacinto Rotary"/>
    <d v="2024-07-31T00:00:00"/>
    <s v="Presenting "/>
    <n v="9"/>
    <n v="9"/>
    <s v="Smaller group, not a meeting I would regularly attend. "/>
    <s v="Jennifer Contreras "/>
    <s v="San Jacinto"/>
    <n v="1"/>
  </r>
  <r>
    <x v="3"/>
    <s v="Walnut Valley Kiwanis Club"/>
    <d v="2025-09-16T00:00:00"/>
    <s v="Networking"/>
    <n v="10"/>
    <n v="10"/>
    <m/>
    <s v="Connie Royal"/>
    <s v="Walnut"/>
    <n v="1"/>
  </r>
  <r>
    <x v="3"/>
    <s v="Covina Sunrise Rotary Club Meeting"/>
    <d v="2025-08-12T00:00:00"/>
    <s v="Networking"/>
    <n v="10"/>
    <n v="10"/>
    <m/>
    <s v="Connie Royal"/>
    <s v="Covina"/>
    <n v="1"/>
  </r>
  <r>
    <x v="3"/>
    <s v="Brea Rotary Club"/>
    <d v="2025-08-05T00:00:00"/>
    <s v="Networking"/>
    <n v="10"/>
    <n v="10"/>
    <m/>
    <s v="Connie Royal and Juleen Erives"/>
    <s v="Brea"/>
    <n v="1"/>
  </r>
  <r>
    <x v="3"/>
    <s v="*speaking* La Verne Rotary Clu"/>
    <d v="2025-04-24T00:00:00"/>
    <s v="Presenting"/>
    <n v="10"/>
    <n v="10"/>
    <m/>
    <s v="Emily Paredez "/>
    <s v="La Verne"/>
    <n v="1"/>
  </r>
  <r>
    <x v="3"/>
    <s v="West Covina Rotary Club"/>
    <d v="2025-04-23T00:00:00"/>
    <s v="Networking"/>
    <n v="10"/>
    <n v="10"/>
    <m/>
    <s v="Connie Royal"/>
    <s v="West Covina"/>
    <n v="1"/>
  </r>
  <r>
    <x v="3"/>
    <s v="Walnut Valley Kiwanis Club Meeting"/>
    <d v="2024-09-17T00:00:00"/>
    <s v="Networking"/>
    <n v="10"/>
    <n v="10"/>
    <s v="This Kiwanis club really appreciates when I stop in and update them on ONT. They are all frequent travelers and almost all use ONT and love it."/>
    <s v="Connie Royal"/>
    <s v="Walnut"/>
    <n v="1"/>
  </r>
  <r>
    <x v="3"/>
    <s v="*Speaking* West Covina Rotary Club"/>
    <d v="2024-05-29T00:00:00"/>
    <s v="Presenting"/>
    <n v="10"/>
    <n v="10"/>
    <s v="Smaller than normal turnout; but a lot of great interactions and good questions during my presentation. They have approached me now several times about joining their corporate membership."/>
    <s v="Connie Royal"/>
    <m/>
    <n v="1"/>
  </r>
  <r>
    <x v="3"/>
    <s v="*Speaking*Chino Rotary Club"/>
    <d v="2024-03-06T00:00:00"/>
    <s v="Presenting "/>
    <n v="10"/>
    <n v="10"/>
    <s v="Small turnout and very few attended. It appeared to have several different reasons why there was a small crowd. Hoping a bigger turnout next year."/>
    <s v="Paredez, Emily "/>
    <m/>
    <n v="1"/>
  </r>
  <r>
    <x v="3"/>
    <s v="West Covina Rotary Club"/>
    <d v="2024-09-04T00:00:00"/>
    <s v="Networking"/>
    <n v="6"/>
    <n v="10"/>
    <s v="Smaller crowd this time, but always a welcoming group with a lot of community influence. They asked me what was new at the airport, and even though I didn't have an official speaking engagement with them, they let me give like a 2 minute commercial"/>
    <s v="Connie Royal"/>
    <s v="West Covina"/>
    <n v="0.6"/>
  </r>
  <r>
    <x v="3"/>
    <s v="West Covina Rotary Club"/>
    <d v="2025-11-12T00:00:00"/>
    <s v="*Speaking*"/>
    <n v="11"/>
    <n v="11"/>
    <m/>
    <s v="Connie Royal"/>
    <s v="West Covina"/>
    <n v="1"/>
  </r>
  <r>
    <x v="3"/>
    <s v="*Speaking* Menifee Rotary"/>
    <d v="2025-07-10T00:00:00"/>
    <s v="Networking"/>
    <n v="11"/>
    <n v="11"/>
    <m/>
    <s v="Sadie Gribbon"/>
    <s v="Menifee"/>
    <n v="1"/>
  </r>
  <r>
    <x v="3"/>
    <s v="*Speaking* Rotary club of Menifee "/>
    <d v="2024-03-14T00:00:00"/>
    <s v="Presenting "/>
    <n v="11"/>
    <n v="11"/>
    <s v="Small Group. Mayor attended. Well recieved and lots of feedback and questions "/>
    <s v="Jenny Contreras "/>
    <m/>
    <n v="1"/>
  </r>
  <r>
    <x v="3"/>
    <s v="*Speaking* Rotary Club of Riverside Sunrise "/>
    <d v="2025-09-05T00:00:00"/>
    <s v="Speaking "/>
    <n v="12"/>
    <n v="12"/>
    <m/>
    <s v="Jennifer Contreras"/>
    <s v="Riverside"/>
    <n v="1"/>
  </r>
  <r>
    <x v="3"/>
    <s v="Walnut Valley Rotary Club"/>
    <d v="2025-07-22T00:00:00"/>
    <s v="Networking"/>
    <n v="12"/>
    <n v="12"/>
    <m/>
    <s v="Connie Royal"/>
    <s v="Walnut"/>
    <n v="1"/>
  </r>
  <r>
    <x v="3"/>
    <s v="Placentia Rotary Meeting"/>
    <d v="2025-02-26T00:00:00"/>
    <s v="Networking"/>
    <n v="12"/>
    <n v="12"/>
    <m/>
    <s v="Connie Royal"/>
    <s v="Placentia"/>
    <n v="1"/>
  </r>
  <r>
    <x v="3"/>
    <s v="Walnut Valley Rotary Club"/>
    <d v="2025-01-28T00:00:00"/>
    <s v="Networking"/>
    <n v="12"/>
    <n v="12"/>
    <m/>
    <s v="Connie Royal"/>
    <s v="Walnut"/>
    <n v="1"/>
  </r>
  <r>
    <x v="3"/>
    <s v="*Speaking* Lake Elsinore Rotary"/>
    <d v="2024-09-04T00:00:00"/>
    <s v="Presenting"/>
    <n v="12"/>
    <n v="12"/>
    <s v="Not a huge rotary but they have been struggling to grow since Covid. Chamber Director and Riverside county school board member present. Was able to get a speaking opoprtunity out of it for a KW in Lake Elsinore that has almost 200 agents so that is a plus."/>
    <s v="Sadie Gribbon"/>
    <s v="Lake Elsinore"/>
    <n v="1"/>
  </r>
  <r>
    <x v="3"/>
    <s v="*Speaking* Brea Rotary Club"/>
    <d v="2024-06-18T00:00:00"/>
    <s v="Presenting"/>
    <n v="12"/>
    <n v="12"/>
    <s v="Lots of engagement and great questions! People learned things about the airport that they hadn't known before - like ONT+"/>
    <s v="Connie Royal"/>
    <m/>
    <n v="1"/>
  </r>
  <r>
    <x v="3"/>
    <s v="*Speaking* Lake Arrowhead Rotary"/>
    <d v="2024-05-28T00:00:00"/>
    <s v="Presenting "/>
    <n v="12"/>
    <n v="12"/>
    <s v="Small crowd and turnout. Still great to be present in this area but I wouldnt prioritize speaking at this event again"/>
    <s v="Paredez, Emily"/>
    <m/>
    <n v="1"/>
  </r>
  <r>
    <x v="3"/>
    <s v="*Speaking* Riverside Rotary Club"/>
    <d v="2024-04-03T00:00:00"/>
    <s v="Presenting "/>
    <n v="12"/>
    <n v="12"/>
    <s v="Smaller group but appreicated having ONT present. "/>
    <s v="Jenny Contreras "/>
    <m/>
    <n v="1"/>
  </r>
  <r>
    <x v="3"/>
    <s v="La Verne Rotary"/>
    <d v="2024-02-29T00:00:00"/>
    <s v="Presenting"/>
    <n v="12"/>
    <n v="12"/>
    <s v="Such a great group to present to, filled with questions, and would recommend presenting here again"/>
    <s v="Paredez, Emily "/>
    <m/>
    <n v="1"/>
  </r>
  <r>
    <x v="3"/>
    <s v="Walnut Valley Kiwanis"/>
    <d v="2024-07-02T00:00:00"/>
    <s v="Networking"/>
    <n v="8"/>
    <n v="12"/>
    <s v="This group is very active, as I mentioned before. A few members of the West Covina Kiwanis joined this meeting today, and I've met them a few times. They collaborate really well together."/>
    <s v="Connie Royal"/>
    <s v="Walnut"/>
    <n v="0.66666666666666663"/>
  </r>
  <r>
    <x v="3"/>
    <s v="Walnut Valley Rotary Club"/>
    <d v="2024-10-01T00:00:00"/>
    <s v="Networking"/>
    <n v="6"/>
    <n v="12"/>
    <s v="This group is always happy to have me attend. Lots of great feedback about the airport, and excited about valet service."/>
    <s v="Connie Royal"/>
    <s v="Walnut"/>
    <n v="0.5"/>
  </r>
  <r>
    <x v="3"/>
    <s v="West Covina Rotary Club"/>
    <d v="2024-10-23T00:00:00"/>
    <s v="Networking"/>
    <n v="5"/>
    <n v="12"/>
    <s v="Small group, but always lots of good feedback on the airport and they're always happy to have me there"/>
    <s v="Connie Royal"/>
    <s v="West Covina"/>
    <n v="0.41666666666666669"/>
  </r>
  <r>
    <x v="3"/>
    <s v="Diamond Bar Woman's Club"/>
    <d v="2024-10-16T00:00:00"/>
    <s v="Networking"/>
    <n v="3"/>
    <n v="12"/>
    <s v="Always a welcoming group and these women are the ones who plan flights on behalf of their families. Great relationships to have."/>
    <s v="Connie Royal"/>
    <s v="Diamond Bar"/>
    <n v="0.25"/>
  </r>
  <r>
    <x v="3"/>
    <s v="*Speaking* Rotary Club of Temecula Sunrise "/>
    <d v="2025-08-26T00:00:00"/>
    <s v="Speaking "/>
    <n v="13"/>
    <n v="13"/>
    <m/>
    <s v="Jennifer Contreras"/>
    <s v="Temecula"/>
    <n v="1"/>
  </r>
  <r>
    <x v="3"/>
    <s v="*Speaking* San Gorgonio Pass Rotary Club"/>
    <d v="2024-08-01T00:00:00"/>
    <s v="Presenting"/>
    <n v="13"/>
    <n v="13"/>
    <s v="Great turn out, the group had nothing but great things to share about ONT."/>
    <s v="Jennifer Contreras "/>
    <s v="San Gorgonio"/>
    <n v="1"/>
  </r>
  <r>
    <x v="3"/>
    <s v="*Speaking*Riverside Sunrise Rotary Club"/>
    <d v="2024-06-07T00:00:00"/>
    <s v="Presenting "/>
    <n v="14"/>
    <n v="14"/>
    <s v="Smaller group but they were excited to have us there! "/>
    <s v="Jennifer Contreras "/>
    <m/>
    <n v="1"/>
  </r>
  <r>
    <x v="3"/>
    <s v="*Speaking* Temecula Sunrise Rotary"/>
    <d v="2024-04-30T00:00:00"/>
    <s v="Presenting "/>
    <n v="14"/>
    <n v="14"/>
    <s v="Smaller Temecula Rotary group but they host a lot of community events and are well connected "/>
    <s v="Jenny Contreras "/>
    <m/>
    <n v="1"/>
  </r>
  <r>
    <x v="3"/>
    <s v="*Speaking* Rotary club of Victorville "/>
    <d v="2024-03-12T00:00:00"/>
    <s v="Presenting "/>
    <n v="14"/>
    <n v="14"/>
    <s v="Small Group. City council members attended. They were happy to have ONT speak at their event."/>
    <s v="Jenny Contreras "/>
    <m/>
    <n v="1"/>
  </r>
  <r>
    <x v="3"/>
    <s v="West Covina Rotary Club"/>
    <d v="2025-10-15T00:00:00"/>
    <s v="Networking"/>
    <n v="15"/>
    <n v="15"/>
    <m/>
    <s v="Connie Royal"/>
    <s v="West Covina"/>
    <n v="1"/>
  </r>
  <r>
    <x v="3"/>
    <s v="*Speaking* Rotary Club of Riverside "/>
    <d v="2025-08-27T00:00:00"/>
    <s v="Speaking "/>
    <n v="15"/>
    <n v="15"/>
    <m/>
    <s v="Jennifer Contreras, Hatsumi and Juleen "/>
    <s v="Riverside"/>
    <n v="1"/>
  </r>
  <r>
    <x v="3"/>
    <s v="Walnut Valley Rotary Club"/>
    <d v="2025-08-26T00:00:00"/>
    <s v="Networking"/>
    <n v="15"/>
    <n v="15"/>
    <m/>
    <s v="Connie Royal"/>
    <s v="Walnut"/>
    <n v="1"/>
  </r>
  <r>
    <x v="3"/>
    <s v="Walnut Valley Rotary Club"/>
    <d v="2025-07-29T00:00:00"/>
    <s v="Networking"/>
    <n v="15"/>
    <n v="15"/>
    <m/>
    <s v="Connie Royal"/>
    <s v="Walnut"/>
    <n v="1"/>
  </r>
  <r>
    <x v="3"/>
    <s v="Walnut Valley Kiwanis Club"/>
    <d v="2025-07-01T00:00:00"/>
    <s v="Networking"/>
    <n v="15"/>
    <n v="15"/>
    <m/>
    <s v="Connie Royal"/>
    <s v="Walnut"/>
    <n v="1"/>
  </r>
  <r>
    <x v="3"/>
    <s v="*Presenting* Diamond Bar Woman's Club"/>
    <d v="2025-04-16T00:00:00"/>
    <s v="Speaking"/>
    <n v="15"/>
    <n v="15"/>
    <m/>
    <s v="Connie Royal"/>
    <s v="Diamond bar"/>
    <n v="1"/>
  </r>
  <r>
    <x v="3"/>
    <s v="Walnut Valley Rotary Club"/>
    <d v="2025-01-21T00:00:00"/>
    <s v="Networking"/>
    <n v="15"/>
    <n v="15"/>
    <s v="In 2 years, the International Rotary Conference is taking place in Taipei, Taiwan. Would be a great opportunity to partner with all our local Rotary Clubs to fly out of ONT to Taiwan."/>
    <s v="Connie Royal"/>
    <s v="Walnut"/>
    <n v="1"/>
  </r>
  <r>
    <x v="3"/>
    <s v="Walnut Valley Kiwanis Meeting"/>
    <d v="2024-12-03T00:00:00"/>
    <s v="Networking"/>
    <n v="15"/>
    <n v="15"/>
    <s v="They always let me have a 5-10 minute commercial to give updates on ONT"/>
    <s v="Connie Royal"/>
    <s v="Walnut"/>
    <n v="1"/>
  </r>
  <r>
    <x v="3"/>
    <s v="Placentia Rotary Meeting"/>
    <d v="2024-10-30T00:00:00"/>
    <s v="Presenting"/>
    <n v="15"/>
    <n v="15"/>
    <s v="First time meeting this group; very nice"/>
    <s v="Connie Royal"/>
    <s v="Placentia"/>
    <n v="1"/>
  </r>
  <r>
    <x v="3"/>
    <s v="*Speaking* Anaheim Rotary"/>
    <d v="2024-10-07T00:00:00"/>
    <s v="Presenting"/>
    <n v="15"/>
    <n v="15"/>
    <s v="Great group, most of them thought we were still LAWA and had no idea we were international, also Rotary International convention in 2026 was brought up as it is being hosted in Taipei"/>
    <s v="Sadie Gribbon"/>
    <s v="Anaheim"/>
    <n v="1"/>
  </r>
  <r>
    <x v="3"/>
    <s v="*Speaking* Chino Hills Rotary Club"/>
    <d v="2024-08-06T00:00:00"/>
    <s v="Speaking"/>
    <n v="15"/>
    <n v="15"/>
    <s v="Great connections in the room. This was a lively crowd and would prioritze speaking here again over the Chino Rotary."/>
    <s v="Paredez, Emily "/>
    <s v="Chino Valley"/>
    <n v="1"/>
  </r>
  <r>
    <x v="3"/>
    <s v="*Speaking* SB Rotary"/>
    <d v="2024-06-11T00:00:00"/>
    <s v="Presenting "/>
    <n v="15"/>
    <n v="15"/>
    <s v="Small rotary, very happy to have me present and will be sending me more meetings to present to!"/>
    <s v="Jordie Salvador"/>
    <m/>
    <n v="1"/>
  </r>
  <r>
    <x v="3"/>
    <s v="*Speaking* Riverside East Rotary Club Meeting "/>
    <d v="2024-05-22T00:00:00"/>
    <s v="Presenting "/>
    <n v="15"/>
    <n v="15"/>
    <m/>
    <s v="Jennifer Contreras "/>
    <m/>
    <n v="1"/>
  </r>
  <r>
    <x v="3"/>
    <s v="*Speaking* Rotary Club of Perris"/>
    <d v="2024-04-11T00:00:00"/>
    <s v="Presenting "/>
    <n v="15"/>
    <n v="15"/>
    <s v="Smaller crowd, but attendees were engaged by information shared. This area is close enough for community to use SD and Palm Springs airport. Should look into data."/>
    <s v="Jenny Contreras "/>
    <m/>
    <n v="1"/>
  </r>
  <r>
    <x v="3"/>
    <s v="West Covina Rotary Club Meeting"/>
    <d v="2024-04-03T00:00:00"/>
    <s v="Networking"/>
    <n v="15"/>
    <n v="15"/>
    <s v="Small group, but very engaged. Interested in having me back next month to speak. They are working on a Red Ribbon Week event this October and would like for us to partner/sponsor/donate in some way."/>
    <s v="Connie Royal"/>
    <m/>
    <n v="1"/>
  </r>
  <r>
    <x v="3"/>
    <s v="West Covina Rotary Club"/>
    <d v="2025-07-16T00:00:00"/>
    <s v="Networking"/>
    <n v="8"/>
    <n v="15"/>
    <m/>
    <s v="Connie Royal"/>
    <s v="West Covina"/>
    <n v="0.53333333333333333"/>
  </r>
  <r>
    <x v="3"/>
    <s v="Walnut Valley Kiwanis Club Meeting"/>
    <d v="2024-07-23T00:00:00"/>
    <s v="Networking"/>
    <n v="8"/>
    <n v="15"/>
    <s v="Small group, but active in the community. They're always happy when I'm there and very welcoming."/>
    <s v="Connie Royal"/>
    <s v="Walnut"/>
    <n v="0.53333333333333333"/>
  </r>
  <r>
    <x v="3"/>
    <s v="Covina Sunrise Rotary Meeting"/>
    <d v="2024-09-10T00:00:00"/>
    <s v="Networking"/>
    <n v="6"/>
    <n v="15"/>
    <s v="This group is worth waking up before the sunrise for! They are very engaging and are very appreciative to have an ONT rep there."/>
    <s v="Connie Royal"/>
    <s v="Covina"/>
    <n v="0.4"/>
  </r>
  <r>
    <x v="3"/>
    <s v="Brea Rotary Club"/>
    <d v="2024-10-15T00:00:00"/>
    <s v="Networking"/>
    <n v="5"/>
    <n v="15"/>
    <s v="Small group, but I like to keep up with what they're up to so I try to go once in a while"/>
    <s v="Connie Royal"/>
    <s v="Brea"/>
    <n v="0.33333333333333331"/>
  </r>
  <r>
    <x v="3"/>
    <s v="Diamond Bar Woman's Club"/>
    <d v="2024-11-20T00:00:00"/>
    <s v="Networking"/>
    <n v="4"/>
    <n v="15"/>
    <m/>
    <s v="Connie Royal"/>
    <s v="Diamond Bar"/>
    <n v="0.26666666666666666"/>
  </r>
  <r>
    <x v="3"/>
    <s v="*Speaking* Anaheim Rotary"/>
    <d v="2025-07-14T00:00:00"/>
    <s v="Speaking "/>
    <n v="16"/>
    <n v="16"/>
    <m/>
    <s v="Sadie Gribbon"/>
    <s v="Anaheim"/>
    <n v="1"/>
  </r>
  <r>
    <x v="3"/>
    <s v="*Speaking* Walnut Valley Rotary Club "/>
    <d v="2024-07-30T00:00:00"/>
    <s v="Presenting"/>
    <n v="16"/>
    <n v="16"/>
    <s v="Nice turnoutÖ this group is always about this size. Great opportunity to present, and they asked really engaging questions."/>
    <s v="Connie Royal"/>
    <s v="Walnut"/>
    <n v="1"/>
  </r>
  <r>
    <x v="3"/>
    <s v="*Speaking* West Covina Kiwanis Club"/>
    <d v="2024-06-11T00:00:00"/>
    <s v="Presenting"/>
    <n v="16"/>
    <n v="16"/>
    <s v="Great group; very active in the community. They were very happy to have me presenting; lots of great questions. The current president used to be a part of Ontario Rotary and said he's so proud and excited to see the growth of ONT."/>
    <s v="Connie Royal"/>
    <m/>
    <n v="1"/>
  </r>
  <r>
    <x v="3"/>
    <s v="*Speaking* Rotary Club of Pomona "/>
    <d v="2024-05-21T00:00:00"/>
    <s v="Presenting "/>
    <n v="16"/>
    <n v="16"/>
    <s v="They were very happy to have us present for their club and they would like for us to join rotary club. "/>
    <s v="Jennifer Contreras/Emily Paderez "/>
    <m/>
    <n v="1"/>
  </r>
  <r>
    <x v="3"/>
    <s v="West Covina Kiwanis Club Dinner Meeting"/>
    <d v="2024-03-25T00:00:00"/>
    <s v="Networking"/>
    <n v="16"/>
    <n v="16"/>
    <s v="Small group, but very active and asked a lot of questions. Was very happy to have ONT rep there, invited me back for a speaking opportunity."/>
    <s v="Connie Royal"/>
    <m/>
    <n v="1"/>
  </r>
  <r>
    <x v="3"/>
    <s v="Walnut Valley Rotary Club"/>
    <d v="2024-07-09T00:00:00"/>
    <s v="Networking"/>
    <n v="8"/>
    <n v="16"/>
    <s v="This was my first time attending a Walnut Valley Rotary club meeting. They were very welcoming and they are very active in the community. They have invited me back for a speaking engagement at the end of the month."/>
    <s v="Connie Royal"/>
    <s v="Walnut"/>
    <n v="0.5"/>
  </r>
  <r>
    <x v="3"/>
    <s v="Covina Sunrise Rotary Club Meeting"/>
    <d v="2025-04-01T00:00:00"/>
    <s v="Networking"/>
    <n v="17"/>
    <n v="17"/>
    <m/>
    <s v="Connie Royal"/>
    <s v="Covina"/>
    <n v="1"/>
  </r>
  <r>
    <x v="3"/>
    <s v="*SPEAKING* Covina Sunrise Rotary Club Meeting"/>
    <d v="2025-10-07T00:00:00"/>
    <s v="Speaking"/>
    <n v="18"/>
    <n v="18"/>
    <m/>
    <s v="Connie Royal"/>
    <s v="Covina"/>
    <n v="1"/>
  </r>
  <r>
    <x v="3"/>
    <s v="*Speaking* Covina Rotary Club Meeting"/>
    <d v="2024-06-06T00:00:00"/>
    <s v="Presenting"/>
    <n v="18"/>
    <n v="18"/>
    <s v="Smaller than usual turnout for this Rotary; but it was a great opportunity for my presentation to be more interactive. I could tell they really took in the information that I was sharing."/>
    <s v="Connie Royal"/>
    <m/>
    <n v="1"/>
  </r>
  <r>
    <x v="3"/>
    <s v="Brea Rotary Club"/>
    <d v="2024-08-13T00:00:00"/>
    <s v="Networking"/>
    <n v="5"/>
    <n v="18"/>
    <s v="Small group this go around but a lot of folks were out because of Back to School"/>
    <s v="Connie Royal"/>
    <s v="Brea"/>
    <n v="0.27777777777777779"/>
  </r>
  <r>
    <x v="3"/>
    <s v="Covina Sunrise Rotary Meeting"/>
    <d v="2024-07-16T00:00:00"/>
    <s v="Networking"/>
    <n v="5"/>
    <n v="18"/>
    <s v="I was able to share the summer parking promo with them, and 2 people pre-booked right in front of me!"/>
    <s v="Connie Royal"/>
    <s v="Covina"/>
    <n v="0.27777777777777779"/>
  </r>
  <r>
    <x v="3"/>
    <s v="Brea Rotary Club"/>
    <d v="2024-05-07T00:00:00"/>
    <s v="Networking"/>
    <n v="5"/>
    <n v="18"/>
    <s v="Great turnout, and they meet weekly. They were very happy to have ONT presense there and have already offered me a speaking opportunity for next month."/>
    <s v="Connie Royal"/>
    <m/>
    <n v="0.27777777777777779"/>
  </r>
  <r>
    <x v="3"/>
    <s v="Covina Sunrise Rotary Club Meeting"/>
    <d v="2025-07-15T00:00:00"/>
    <s v="Networking"/>
    <n v="20"/>
    <n v="20"/>
    <m/>
    <s v="Connie Royal"/>
    <s v="Covina"/>
    <n v="1"/>
  </r>
  <r>
    <x v="3"/>
    <s v="*Presenting* Claremont Sunrise Rotary"/>
    <d v="2025-03-26T00:00:00"/>
    <s v="Presenting"/>
    <n v="20"/>
    <n v="20"/>
    <m/>
    <s v="Sadie Gribbon"/>
    <s v="Claremont"/>
    <n v="1"/>
  </r>
  <r>
    <x v="3"/>
    <s v="Brea Rotary Club"/>
    <d v="2025-01-21T00:00:00"/>
    <s v="Networking"/>
    <n v="20"/>
    <n v="20"/>
    <s v="Was able to get in front of the group for an informal pitch about what I do (re-introducing myself) and sharing information about the 5K. The Chief of the Brea Fire Department was there and I was able to pick his brain on resources for victims."/>
    <s v="Connie Royal"/>
    <s v="Brea"/>
    <n v="1"/>
  </r>
  <r>
    <x v="3"/>
    <s v="Upland Kiwanis Club"/>
    <d v="2024-11-20T00:00:00"/>
    <s v="Presenting"/>
    <n v="20"/>
    <n v="20"/>
    <s v="great turn out"/>
    <s v="Paredez, Emily "/>
    <s v="Upland"/>
    <n v="1"/>
  </r>
  <r>
    <x v="3"/>
    <s v="*Speaking* Rialto Lions Club "/>
    <d v="2024-09-17T00:00:00"/>
    <s v="Presenting"/>
    <n v="20"/>
    <n v="20"/>
    <s v="Small setting presentation. Lots of good questions and people from multiple City Lions Clubs in attendence."/>
    <s v="Jordie Annen"/>
    <s v="Rialto"/>
    <n v="1"/>
  </r>
  <r>
    <x v="3"/>
    <s v="*Speaking* Upland Rotary Club"/>
    <d v="2024-07-10T00:00:00"/>
    <s v="Speaking"/>
    <n v="20"/>
    <n v="20"/>
    <m/>
    <s v="Paredez, Emily "/>
    <s v="Upland"/>
    <n v="1"/>
  </r>
  <r>
    <x v="3"/>
    <s v="*Speaking* Glendora Rotary Club"/>
    <d v="2024-04-09T00:00:00"/>
    <s v="Speaking"/>
    <n v="20"/>
    <n v="20"/>
    <s v="Great crowd and had lots of questions. This rotary was well organized and made the process easy. I recommend speaking again here."/>
    <s v="Paredez, Emily "/>
    <m/>
    <n v="1"/>
  </r>
  <r>
    <x v="3"/>
    <s v="West Covina Rotary Club"/>
    <d v="2024-07-31T00:00:00"/>
    <s v="Networking"/>
    <n v="8"/>
    <n v="20"/>
    <s v="This rotary is always very welcoming, and I'm definitely building relationships here. I always get a lot of great feedback from this group on the airport."/>
    <s v="Connie Royal"/>
    <s v="West Covina"/>
    <n v="0.4"/>
  </r>
  <r>
    <x v="3"/>
    <s v="Diamond Bar Woman's Club"/>
    <d v="2024-06-19T00:00:00"/>
    <s v="Networking"/>
    <n v="8"/>
    <n v="20"/>
    <s v="Very active group for the city of Diamond Bar. They were happy to have me there and want me to return after the summer (they go dark in July and August)"/>
    <s v="Connie Royal"/>
    <m/>
    <n v="0.4"/>
  </r>
  <r>
    <x v="3"/>
    <s v="Covina Rotary Club Luncheon"/>
    <d v="2024-07-18T00:00:00"/>
    <s v="Networking"/>
    <n v="6"/>
    <n v="20"/>
    <s v="A lot of great feedback about how much they love ONT. One woman told me that she was flying out of ONT to LAS that night, and I shared the summer parking promo with her."/>
    <s v="Connie Royal"/>
    <s v="Covina"/>
    <n v="0.3"/>
  </r>
  <r>
    <x v="3"/>
    <s v="Covina Sunrise Rotary Meeting"/>
    <d v="2024-10-29T00:00:00"/>
    <s v="Networking"/>
    <n v="5"/>
    <n v="20"/>
    <m/>
    <s v="Connie Royal"/>
    <s v="Covina"/>
    <n v="0.25"/>
  </r>
  <r>
    <x v="3"/>
    <s v="West Covina Rotary Club"/>
    <d v="2024-05-01T00:00:00"/>
    <s v="Networking"/>
    <n v="5"/>
    <n v="20"/>
    <s v="This is their weekly meeting and the second time I have attended. While it's a small group, it allows me to really get to know the main players of the organization. They are currently working on their Red Ribbon Week event that will take place this Fall and I am brainstorming ideas of how we can support."/>
    <s v="Connie Royal"/>
    <m/>
    <n v="0.25"/>
  </r>
  <r>
    <x v="3"/>
    <s v="*Speaking* Rotary Club of Murrieta "/>
    <d v="2024-09-09T00:00:00"/>
    <s v="Presenting"/>
    <n v="23"/>
    <n v="23"/>
    <s v="Well attended and very engaged crowd. "/>
    <s v="Jennifer Contreras "/>
    <s v="murrieta"/>
    <n v="1"/>
  </r>
  <r>
    <x v="3"/>
    <s v="*Speaking* Corona Circle City Rotary "/>
    <d v="2024-12-18T00:00:00"/>
    <s v="Presenting"/>
    <n v="25"/>
    <n v="25"/>
    <m/>
    <s v="Jennifer Contreras "/>
    <s v="Corona"/>
    <n v="1"/>
  </r>
  <r>
    <x v="3"/>
    <s v="*Speaking* Covina Sunrise Rotary"/>
    <d v="2024-04-30T00:00:00"/>
    <s v="Presenting"/>
    <n v="15"/>
    <n v="25"/>
    <s v="Well attended weekly meeting! They are very active and my first presentation went well! I'll definitely be attending more meetings with this group."/>
    <s v="Connie Royal"/>
    <m/>
    <n v="0.6"/>
  </r>
  <r>
    <x v="3"/>
    <s v="Covina Rotary Club Meeting"/>
    <d v="2025-04-09T00:00:00"/>
    <s v="Networking"/>
    <n v="10"/>
    <n v="25"/>
    <m/>
    <n v="150"/>
    <s v="Covina"/>
    <n v="0.4"/>
  </r>
  <r>
    <x v="3"/>
    <s v="West Covina Rotary Club"/>
    <d v="2025-01-22T00:00:00"/>
    <s v="Networking"/>
    <n v="7"/>
    <n v="25"/>
    <m/>
    <s v="Connie Royal"/>
    <s v="West Covina"/>
    <n v="0.28000000000000003"/>
  </r>
  <r>
    <x v="3"/>
    <s v="Covina Rotary Club"/>
    <d v="2024-05-02T00:00:00"/>
    <s v="Networking"/>
    <n v="5"/>
    <n v="25"/>
    <s v="Was approached about the corportate membershipÖ they are a very active group in the community and it's a priority to me to continue to attend their meetings and stay involved. Working on a speaking opportunity in the coming months!"/>
    <s v="Connie Royal"/>
    <m/>
    <n v="0.2"/>
  </r>
  <r>
    <x v="3"/>
    <s v="*Speaking*San Gorgonio Pass Rotary"/>
    <d v="2025-10-02T00:00:00"/>
    <s v="Speaking"/>
    <n v="26"/>
    <n v="26"/>
    <m/>
    <s v="Jennifer Contreras"/>
    <s v="Banning "/>
    <n v="1"/>
  </r>
  <r>
    <x v="3"/>
    <s v="*Speaking*Rotary club of Murrieta "/>
    <d v="2025-09-22T00:00:00"/>
    <s v="Speaking "/>
    <n v="26"/>
    <n v="26"/>
    <m/>
    <s v="Jennifer Contreras"/>
    <s v="Murrieta "/>
    <n v="1"/>
  </r>
  <r>
    <x v="3"/>
    <s v="*Speaking* Monrovia Rotary"/>
    <d v="2025-07-01T00:00:00"/>
    <s v="Networking "/>
    <n v="26"/>
    <n v="26"/>
    <m/>
    <s v="Sadie Gribbon"/>
    <s v="Monrovia"/>
    <n v="1"/>
  </r>
  <r>
    <x v="3"/>
    <s v="Upland Rotary Club"/>
    <d v="2025-03-05T00:00:00"/>
    <s v="Speaking"/>
    <n v="30"/>
    <n v="30"/>
    <s v="Bigger crowd this time since more were back from vacation"/>
    <s v="Emily Paredez"/>
    <s v="Upland"/>
    <n v="1"/>
  </r>
  <r>
    <x v="3"/>
    <s v="*Speaking* Corona Rotary Club"/>
    <d v="2024-08-09T00:00:00"/>
    <s v="Presenting"/>
    <n v="30"/>
    <n v="30"/>
    <m/>
    <s v="Jennifer Contreras "/>
    <s v="Corona"/>
    <n v="1"/>
  </r>
  <r>
    <x v="3"/>
    <s v="Glendora Kiwanis Club"/>
    <d v="2024-04-18T00:00:00"/>
    <s v="Speaking"/>
    <n v="30"/>
    <n v="30"/>
    <s v="Great crowd and had lots of questions. Really was surprised in how dedicated everyone was to show up to the meetings in this club."/>
    <s v="Paredez, Emily"/>
    <m/>
    <n v="1"/>
  </r>
  <r>
    <x v="3"/>
    <s v="*Speaking* Rotary Club of Temecula "/>
    <d v="2024-02-21T00:00:00"/>
    <s v="Presentation "/>
    <n v="30"/>
    <n v="30"/>
    <s v="The club was intrested in the information shared, lots of questions asked. "/>
    <s v="Jenny Contreras "/>
    <m/>
    <n v="1"/>
  </r>
  <r>
    <x v="3"/>
    <s v="Eastvale Kiwanis"/>
    <d v="2023-09-11T00:00:00"/>
    <s v="Presenting"/>
    <n v="30"/>
    <n v="30"/>
    <s v="Very engaged audience but did not have a screen and the location was not the most professional. Just something to keep in mind for next time. "/>
    <s v="Paredez, Emily "/>
    <s v="Ontario"/>
    <n v="1"/>
  </r>
  <r>
    <x v="3"/>
    <s v="Upland Rotary"/>
    <d v="2023-05-10T00:00:00"/>
    <s v="Presenting"/>
    <n v="30"/>
    <n v="30"/>
    <s v="Presented with Quinn"/>
    <s v="Steph"/>
    <s v="Ontario"/>
    <n v="1"/>
  </r>
  <r>
    <x v="3"/>
    <s v="Covina Sunrise Rotary Meeting"/>
    <d v="2024-12-17T00:00:00"/>
    <s v="Networking"/>
    <n v="8"/>
    <n v="30"/>
    <m/>
    <s v="Connie Royal"/>
    <s v="Covina"/>
    <n v="0.26666666666666666"/>
  </r>
  <r>
    <x v="3"/>
    <s v="Yorba Linda Sunrise Rotary Meeting"/>
    <d v="2024-07-12T00:00:00"/>
    <s v="Networking"/>
    <n v="5"/>
    <n v="30"/>
    <s v="This group always has a really great turnout, considering it's so early in the morning! The guest speaker was the district general that oversees other Rotary clubs in North OC, so it was nice to meet him."/>
    <s v="Connie Royal"/>
    <s v="Yorba Linda"/>
    <n v="0.16666666666666666"/>
  </r>
  <r>
    <x v="3"/>
    <s v="*Speaking* Arcadia Rotary"/>
    <d v="2025-07-18T00:00:00"/>
    <s v="Networking"/>
    <n v="35"/>
    <n v="35"/>
    <m/>
    <s v="Sadie Gribbon"/>
    <s v="Arcadia"/>
    <n v="1"/>
  </r>
  <r>
    <x v="3"/>
    <s v="Upland Womens Club"/>
    <d v="2024-11-26T00:00:00"/>
    <s v="Presenting"/>
    <n v="35"/>
    <n v="35"/>
    <s v="Suprisingly big turn out"/>
    <s v="Paredez, Emily "/>
    <s v="Upland"/>
    <n v="1"/>
  </r>
  <r>
    <x v="3"/>
    <s v="Monrovia Rotary Club"/>
    <d v="2023-10-24T00:00:00"/>
    <s v="Speaking"/>
    <n v="35"/>
    <n v="35"/>
    <s v="Energized crowd with lots of questions. They appreciated the information about ONT and it appears most already prefer our airport."/>
    <s v="Paredez, Emily "/>
    <s v="Ontario"/>
    <n v="1"/>
  </r>
  <r>
    <x v="3"/>
    <s v="Covina Rotary Club Meeting"/>
    <d v="2024-04-04T00:00:00"/>
    <s v="Networking"/>
    <n v="10"/>
    <n v="35"/>
    <s v="Great attendance! They are a very active Rotary group and while I only got to personally interact with about 10 people, they were good connections. I am setting up a speaking opportunity with them for May."/>
    <s v="Connie Royal"/>
    <m/>
    <n v="0.2857142857142857"/>
  </r>
  <r>
    <x v="3"/>
    <s v="Yorba Linda Sunrise Rotary Meeting"/>
    <d v="2024-11-08T00:00:00"/>
    <s v="Presenting"/>
    <n v="40"/>
    <n v="40"/>
    <m/>
    <s v="Connie Royal"/>
    <s v="Yorba Linda"/>
    <n v="1"/>
  </r>
  <r>
    <x v="3"/>
    <s v="*Speaking* San Bernardino Rotary"/>
    <d v="2024-10-02T00:00:00"/>
    <s v="Presenting"/>
    <n v="40"/>
    <n v="40"/>
    <m/>
    <m/>
    <s v="San Bernardino"/>
    <n v="1"/>
  </r>
  <r>
    <x v="3"/>
    <s v="Claremont Sunrise Rotary"/>
    <d v="2022-05-11T00:00:00"/>
    <s v="Present/Network"/>
    <n v="40"/>
    <n v="40"/>
    <s v="Good opporunity to present about ONT and network"/>
    <s v="Steph"/>
    <s v="Ontario"/>
    <n v="1"/>
  </r>
  <r>
    <x v="3"/>
    <s v="Yorba Linda Sunrise Rotary Meeting"/>
    <d v="2024-04-12T00:00:00"/>
    <s v="Networking"/>
    <n v="5"/>
    <n v="40"/>
    <s v="Great crowd for an early morning weekly Rotary club! I was only able to chat with a few people at my table, but will definitely be attending again and hope to get on their list of speakers - they're booked thru the Fall!"/>
    <s v="Connie Royal"/>
    <m/>
    <n v="0.125"/>
  </r>
  <r>
    <x v="3"/>
    <s v="*Speaking*  Claremont Kiwanis Club"/>
    <d v="2024-07-25T00:00:00"/>
    <s v="Presenting "/>
    <n v="45"/>
    <n v="45"/>
    <m/>
    <s v="Sadie Gribbon"/>
    <s v="Claremont"/>
    <n v="1"/>
  </r>
  <r>
    <x v="3"/>
    <s v="Upland Kiwanis"/>
    <d v="2022-04-20T00:00:00"/>
    <s v="Present/Network"/>
    <n v="45"/>
    <n v="45"/>
    <s v="Good opporunity to present about ONT and network"/>
    <s v="Steph"/>
    <s v="Ontario"/>
    <n v="1"/>
  </r>
  <r>
    <x v="3"/>
    <s v="Claremont Rotary "/>
    <d v="2022-04-08T00:00:00"/>
    <s v="Present/Network"/>
    <n v="45"/>
    <n v="45"/>
    <s v="Good opporunity to present about ONT and network"/>
    <s v="Steph"/>
    <s v="Ontario"/>
    <n v="1"/>
  </r>
  <r>
    <x v="3"/>
    <s v="*Speaking* Redlands Rotary"/>
    <d v="2024-07-25T00:00:00"/>
    <s v="Presenting "/>
    <n v="50"/>
    <n v="50"/>
    <s v="This Rotary was very large and active with the community. They asked a lot of questions and donated a book to the school district about planes in my name. "/>
    <s v="Jordie Annen"/>
    <s v="Redlands"/>
    <n v="1"/>
  </r>
  <r>
    <x v="3"/>
    <s v="Yorba Linda Woman's Club"/>
    <d v="2024-06-20T00:00:00"/>
    <s v="Networking"/>
    <n v="10"/>
    <n v="50"/>
    <s v="Huge turnout! They welcomed me to the group and I was able to give a :30 commercial about the airport. Lots of great questions and warm reception. I'll definitely be back!"/>
    <s v="Connie Royal"/>
    <m/>
    <n v="0.2"/>
  </r>
  <r>
    <x v="3"/>
    <s v="Walnut Valley Rotary Club"/>
    <d v="2025-10-21T00:00:00"/>
    <s v="Networking"/>
    <n v="25"/>
    <n v="60"/>
    <m/>
    <s v="Connie Royal"/>
    <s v="Walnut"/>
    <n v="0.41666666666666669"/>
  </r>
  <r>
    <x v="3"/>
    <s v="Covina Woman's Club Luncheon"/>
    <d v="2024-05-13T00:00:00"/>
    <s v="Networking"/>
    <n v="6"/>
    <n v="75"/>
    <s v="First time at this woman's club meeting. They have a huge turnout, and this group is the oldest service org in Covina. These woman have disposable incomes and make the travel arrangements for their families so it's definitely a group we want to get in front of consistently. I am working on getting a speaking opp in front of them in the fall (they go dark in the summer)."/>
    <s v="Connie Royal"/>
    <m/>
    <n v="0.08"/>
  </r>
  <r>
    <x v="3"/>
    <s v="Placentia Round Table Womenís Club"/>
    <d v="2025-04-02T00:00:00"/>
    <s v="Networking"/>
    <n v="5"/>
    <n v="75"/>
    <m/>
    <s v="Connie Royal"/>
    <s v="Placentia"/>
    <n v="6.6666666666666666E-2"/>
  </r>
  <r>
    <x v="3"/>
    <s v="*Speaking* Arcadia Rotary Club"/>
    <d v="2024-05-31T00:00:00"/>
    <s v="Presenting "/>
    <n v="80"/>
    <n v="80"/>
    <s v="Very large rotary club, would love to have me back just to attend as a guest in the future for lunch. They will be reaching out about sponsorship opportunities for the Rose Parade but nothing yet. All of the marketing collateral and swag was taken -- they loved it. Brought parking promo flyers, lugagge tags and hand sanitizers."/>
    <s v="Sadie Gribbon"/>
    <m/>
    <n v="1"/>
  </r>
  <r>
    <x v="3"/>
    <s v="Arcadia Rotary Club"/>
    <d v="2024-05-03T00:00:00"/>
    <s v="Networking "/>
    <n v="10"/>
    <n v="80"/>
    <s v="This is a large rotary, great for us to get in front of. They will be reaching out for sponsorhsips from ONT it was brought up a couple of times but I have yet to recieve an email or any information requesting our sponsorhip. Will be presenting at the end of the month!"/>
    <s v="Sadie Gribbon "/>
    <m/>
    <n v="0.125"/>
  </r>
  <r>
    <x v="3"/>
    <s v="*Speaking* Elsinore Woman's Club"/>
    <d v="2024-10-10T00:00:00"/>
    <s v="Presenting"/>
    <n v="120"/>
    <n v="120"/>
    <s v="Monthly meeting with former elected of Elsinore, residents, current officialsm and a lot of retired travelers (some travel in groups together),"/>
    <s v="Sadie Gribbon"/>
    <s v="Lake Elsinore"/>
    <n v="1"/>
  </r>
  <r>
    <x v="3"/>
    <s v="Elsinore Women's Club Luncheon"/>
    <d v="2024-04-11T00:00:00"/>
    <s v="Networking "/>
    <n v="15"/>
    <n v="120"/>
    <s v="Great turnout. Asked to come back and speak on October 10. This is a very long event. They start around 10-11 for networking then 11-12 for their programa nd meeting then 12-1 for their speaker and questions. I left at 1:30 and they were still on the tail end of finisihing up. Would go one more time before speaking to stay involved. They are a very politically and geographically involved club in Lake Elsinore, a lot of great women to be connected with."/>
    <s v="Sadie Gribbon "/>
    <m/>
    <n v="0.125"/>
  </r>
  <r>
    <x v="4"/>
    <s v="WRCOG "/>
    <d v="2023-06-29T00:00:00"/>
    <s v="Booth set up for WRCOG"/>
    <n v="1914"/>
    <n v="0"/>
    <m/>
    <s v="Emily "/>
    <s v="Ontario"/>
    <e v="#DIV/0!"/>
  </r>
  <r>
    <x v="4"/>
    <s v="SMART Airports Conference"/>
    <d v="2022-07-20T00:00:00"/>
    <s v="Organized conference events"/>
    <n v="100"/>
    <n v="0"/>
    <m/>
    <s v="Steph, Priscilla"/>
    <s v="Ontario"/>
    <e v="#DIV/0!"/>
  </r>
  <r>
    <x v="4"/>
    <s v="Surprise &amp; Delight"/>
    <d v="2022-04-06T00:00:00"/>
    <s v="Engage with passengers"/>
    <n v="100"/>
    <n v="0"/>
    <s v="Good engagement"/>
    <s v="Steph, Priscilla"/>
    <s v="Ontario"/>
    <e v="#DIV/0!"/>
  </r>
  <r>
    <x v="4"/>
    <s v="ULI Breakfast Event"/>
    <d v="2025-03-18T00:00:00"/>
    <m/>
    <n v="80"/>
    <n v="0"/>
    <m/>
    <m/>
    <s v="Ontario"/>
    <e v="#DIV/0!"/>
  </r>
  <r>
    <x v="4"/>
    <s v="Global Entry Enrollment Center Ribbon Cutting"/>
    <d v="2023-12-21T00:00:00"/>
    <s v="Ribbon Cutting "/>
    <n v="75"/>
    <n v="0"/>
    <m/>
    <s v="CE Team "/>
    <s v="Ontario"/>
    <e v="#DIV/0!"/>
  </r>
  <r>
    <x v="4"/>
    <s v="IEEP X SARH State of the Region"/>
    <d v="2022-03-29T00:00:00"/>
    <s v="Network/sponsor"/>
    <n v="50"/>
    <n v="0"/>
    <m/>
    <s v="Priscilla"/>
    <s v="Ontario"/>
    <e v="#DIV/0!"/>
  </r>
  <r>
    <x v="4"/>
    <s v="SGVEP Economic Forecast"/>
    <d v="2022-03-22T00:00:00"/>
    <s v="Network/sponsor"/>
    <n v="50"/>
    <n v="0"/>
    <m/>
    <s v="Priscilla"/>
    <s v="Ontario"/>
    <e v="#DIV/0!"/>
  </r>
  <r>
    <x v="4"/>
    <s v="Mother's Day "/>
    <d v="2023-05-12T00:00:00"/>
    <s v="S&amp;D passengers"/>
    <n v="45"/>
    <n v="0"/>
    <s v="Set up table with candy and puns; good engagement "/>
    <s v="Steph/Emily"/>
    <s v="Ontario"/>
    <e v="#DIV/0!"/>
  </r>
  <r>
    <x v="4"/>
    <s v="GOBC/Riverside Ribbon Cutting"/>
    <d v="2022-06-01T00:00:00"/>
    <m/>
    <n v="45"/>
    <n v="0"/>
    <m/>
    <s v="Priscilla"/>
    <s v="Ontario"/>
    <e v="#DIV/0!"/>
  </r>
  <r>
    <x v="4"/>
    <s v="Aviation Day Surprise &amp; Delight"/>
    <d v="2022-08-19T00:00:00"/>
    <m/>
    <n v="40"/>
    <n v="0"/>
    <m/>
    <s v="Priscilla"/>
    <s v="Ontario"/>
    <e v="#DIV/0!"/>
  </r>
  <r>
    <x v="4"/>
    <s v="Lifestream Blood Drive"/>
    <d v="2022-06-09T00:00:00"/>
    <s v="Organize truck near terminals"/>
    <n v="40"/>
    <n v="0"/>
    <s v="Not great turnout"/>
    <s v="Priscilla"/>
    <s v="Ontario"/>
    <e v="#DIV/0!"/>
  </r>
  <r>
    <x v="4"/>
    <s v="Travelers Aid Luncheon"/>
    <d v="2022-04-27T00:00:00"/>
    <s v="Set up event for TA"/>
    <n v="40"/>
    <n v="0"/>
    <m/>
    <s v="Steph, Priscilla"/>
    <s v="Ontario"/>
    <e v="#DIV/0!"/>
  </r>
  <r>
    <x v="4"/>
    <s v="Promise Scholars Gold Tournament"/>
    <d v="2022-04-15T00:00:00"/>
    <m/>
    <n v="40"/>
    <n v="0"/>
    <m/>
    <s v="Priscilla"/>
    <s v="Ontario"/>
    <e v="#DIV/0!"/>
  </r>
  <r>
    <x v="4"/>
    <s v="Annual Chaffey Golf Tournament"/>
    <d v="2022-05-23T00:00:00"/>
    <m/>
    <n v="30"/>
    <n v="0"/>
    <m/>
    <s v="Priscilla"/>
    <s v="Ontario"/>
    <e v="#DIV/0!"/>
  </r>
  <r>
    <x v="4"/>
    <s v="AV Geek"/>
    <d v="2022-08-25T00:00:00"/>
    <m/>
    <n v="15"/>
    <n v="0"/>
    <m/>
    <s v="Priscilla"/>
    <s v="Ontario"/>
    <e v="#DIV/0!"/>
  </r>
  <r>
    <x v="4"/>
    <s v="Fox 11/Good Day LA Launch"/>
    <d v="2022-05-02T00:00:00"/>
    <s v="Organize day of filming for Fox 11"/>
    <n v="15"/>
    <n v="0"/>
    <s v="Successful event with the Fox 11 Team"/>
    <s v="Steph, Priscilla"/>
    <s v="Ontario"/>
    <e v="#DIV/0!"/>
  </r>
  <r>
    <x v="4"/>
    <s v="Quakes Activation and filming"/>
    <d v="2023-06-17T00:00:00"/>
    <s v="S&amp;D plus footage with Tremor"/>
    <n v="10"/>
    <n v="0"/>
    <m/>
    <s v="Steph/Emily"/>
    <s v="Ontario"/>
    <e v="#DIV/0!"/>
  </r>
  <r>
    <x v="4"/>
    <s v="LEUSD Student of the Month"/>
    <d v="2024-09-10T00:00:00"/>
    <s v="Networking "/>
    <n v="0"/>
    <n v="0"/>
    <s v="CANCELED DUE TO FIRE"/>
    <s v="Sadie Gribbon"/>
    <m/>
    <e v="#DIV/0!"/>
  </r>
  <r>
    <x v="4"/>
    <s v="Greater West Covina (GWC) Business Association"/>
    <d v="2025-08-28T00:00:00"/>
    <s v="Bring community to ONT, discussion on DLC Pop-Up collab"/>
    <n v="2"/>
    <n v="2"/>
    <m/>
    <s v="Connie Royal"/>
    <s v="Ontario"/>
    <n v="1"/>
  </r>
  <r>
    <x v="4"/>
    <s v="San Antonio Regional Hospital"/>
    <d v="2025-07-15T00:00:00"/>
    <s v="Bring community to ONT, educate the community about ONT's history, current and new routes, proximity, create engagement and excitement about the airport, track and measure where ONT can improve, receive feedback on route requests"/>
    <n v="2"/>
    <n v="2"/>
    <m/>
    <s v="Emily, Sadie, Steph"/>
    <s v="Ontario"/>
    <n v="1"/>
  </r>
  <r>
    <x v="4"/>
    <s v="Ontario State of the City "/>
    <d v="2025-03-19T00:00:00"/>
    <s v="networking "/>
    <n v="5"/>
    <n v="5"/>
    <m/>
    <s v="emily Paredez"/>
    <s v="Ontario"/>
    <n v="1"/>
  </r>
  <r>
    <x v="4"/>
    <s v="Centennial Week- Community Partners"/>
    <d v="2024-03-15T00:00:00"/>
    <s v="ONT Centennial Celebration "/>
    <n v="10"/>
    <n v="10"/>
    <m/>
    <s v="CE Team "/>
    <s v="Ontario"/>
    <n v="1"/>
  </r>
  <r>
    <x v="4"/>
    <s v="Covina Valley Optimist"/>
    <d v="2024-09-03T00:00:00"/>
    <s v="Networking"/>
    <n v="5"/>
    <n v="11"/>
    <s v="Small group, but as mentioned before, it's a group made up of mostly young professionals, so it's nice to be around a different demographic. They are parents of young children and many travel a lot and have shared how ONT is their preferred airport."/>
    <s v="Connie Royal"/>
    <s v="Covina"/>
    <n v="0.45454545454545453"/>
  </r>
  <r>
    <x v="4"/>
    <s v="Glendora soroptomist club"/>
    <d v="2025-03-18T00:00:00"/>
    <s v="Speaking"/>
    <n v="12"/>
    <n v="12"/>
    <s v="great group and donated to our USO"/>
    <s v="Emily Paredez"/>
    <s v="Glendora"/>
    <n v="1"/>
  </r>
  <r>
    <x v="4"/>
    <s v="Coffee with a Cop (Arcadia)"/>
    <d v="2024-08-27T00:00:00"/>
    <s v="Networking "/>
    <n v="3"/>
    <n v="12"/>
    <m/>
    <s v="Sadie Gribbon"/>
    <s v="Arcadia"/>
    <n v="0.25"/>
  </r>
  <r>
    <x v="4"/>
    <s v="Covina Valley Optimist"/>
    <d v="2024-07-02T00:00:00"/>
    <s v="Networking"/>
    <n v="6"/>
    <n v="15"/>
    <s v="This was my first Covina Valley Optimist group. They are made up of young professionals, and their group started during COVID. They raise money to help less fortunate children in the community. Very active and boistrous. They meeting twice a month, and this is definitely an organization that I will be keeping in touch with!"/>
    <s v="Connie Royal"/>
    <s v="Covina"/>
    <n v="0.4"/>
  </r>
  <r>
    <x v="4"/>
    <s v="*Speaking* KW The Lakes"/>
    <d v="2024-12-03T00:00:00"/>
    <s v="Presenting"/>
    <n v="20"/>
    <n v="20"/>
    <s v="Good group to talk to, definitely good to go back once a year to talk about the airport as this group has hundreds of agents. Try for another time that is not holiday season for a better crowd. "/>
    <s v="Sadie Gribbon"/>
    <s v="Lake Elsinore"/>
    <n v="1"/>
  </r>
  <r>
    <x v="4"/>
    <s v="Paw Squad Puppaccinos"/>
    <d v="2024-04-26T00:00:00"/>
    <s v="Celebrate Paw Squad + Volunteer Appreciation"/>
    <n v="20"/>
    <n v="20"/>
    <m/>
    <m/>
    <s v="Ontario"/>
    <n v="1"/>
  </r>
  <r>
    <x v="4"/>
    <s v="*Speaking* Claremont in Action"/>
    <d v="2024-01-16T00:00:00"/>
    <s v="Presenting"/>
    <n v="25"/>
    <n v="25"/>
    <s v="Solid group of older folks who are affluent and travel. "/>
    <s v="Sadie Gribbon"/>
    <s v="Claremont"/>
    <n v="1"/>
  </r>
  <r>
    <x v="4"/>
    <s v="Reception for Senator Rubio"/>
    <d v="2023-01-26T00:00:00"/>
    <s v="Reception for Senator Rubio as she landed at ONT"/>
    <n v="25"/>
    <n v="25"/>
    <s v="President Wapner, City staff and OIAA leadership"/>
    <s v="Steph/Emily/Ain"/>
    <s v="Ontario"/>
    <n v="1"/>
  </r>
  <r>
    <x v="4"/>
    <s v="Aha! To Reno"/>
    <d v="2021-11-04T00:00:00"/>
    <s v="Lead for event"/>
    <n v="20"/>
    <n v="25"/>
    <s v="Small engagement due to small flight"/>
    <s v="Steph"/>
    <s v="Ontario"/>
    <n v="0.8"/>
  </r>
  <r>
    <x v="4"/>
    <s v="Friends of ONT"/>
    <d v="2023-04-20T00:00:00"/>
    <s v="FOT meeting and speaker"/>
    <n v="10"/>
    <n v="30"/>
    <m/>
    <s v="Steph/Emily"/>
    <s v="Ontario"/>
    <n v="0.33333333333333331"/>
  </r>
  <r>
    <x v="4"/>
    <s v="Friends of ONT"/>
    <d v="2023-02-16T00:00:00"/>
    <s v="FOT meeting and speaker"/>
    <n v="10"/>
    <n v="30"/>
    <m/>
    <s v="Steph/Emily"/>
    <s v="Ontario"/>
    <n v="0.33333333333333331"/>
  </r>
  <r>
    <x v="4"/>
    <s v="Veterans Lunch"/>
    <d v="2021-11-12T00:00:00"/>
    <s v="Lead for event"/>
    <n v="15"/>
    <n v="35"/>
    <s v="Chipotle bailed; everything else was okay"/>
    <s v="Steph, Priscilla"/>
    <s v="Ontario"/>
    <n v="0.42857142857142855"/>
  </r>
  <r>
    <x v="4"/>
    <s v="Unpopular Opinions"/>
    <d v="2022-12-07T00:00:00"/>
    <s v="Engage with passengers"/>
    <n v="40"/>
    <n v="40"/>
    <s v="Good engagement"/>
    <s v="Steph"/>
    <s v="Ontario"/>
    <n v="1"/>
  </r>
  <r>
    <x v="4"/>
    <s v="Tree Lighting Ceremony"/>
    <d v="2022-12-01T00:00:00"/>
    <s v="Engage with passengers"/>
    <n v="40"/>
    <n v="40"/>
    <s v="Need better time frame when baggage claim is busy"/>
    <s v="Steph"/>
    <s v="Ontario"/>
    <n v="1"/>
  </r>
  <r>
    <x v="4"/>
    <s v="Chino Valley Real Estate Professionals"/>
    <d v="2022-06-10T00:00:00"/>
    <s v="Present/Network"/>
    <n v="40"/>
    <n v="40"/>
    <s v="Good opporunity to present about ONT and network"/>
    <s v="Steph"/>
    <s v="Ontario"/>
    <n v="1"/>
  </r>
  <r>
    <x v="4"/>
    <s v="West End Real Estate Professionals"/>
    <d v="2022-04-01T00:00:00"/>
    <s v="Present/Network"/>
    <n v="40"/>
    <n v="40"/>
    <s v="Good opportunity to network and present about ONT"/>
    <s v="Steph"/>
    <s v="Ontario"/>
    <n v="1"/>
  </r>
  <r>
    <x v="4"/>
    <s v="Friends of ONT"/>
    <d v="2023-06-15T00:00:00"/>
    <s v="FOT meeting and speaker"/>
    <n v="25"/>
    <n v="40"/>
    <m/>
    <s v="Steph/Emily"/>
    <s v="Ontario"/>
    <n v="0.625"/>
  </r>
  <r>
    <x v="4"/>
    <s v="Evolve Anniversary Celebration"/>
    <d v="2024-06-27T00:00:00"/>
    <s v="Celebrate one year anniversary "/>
    <n v="50"/>
    <n v="50"/>
    <m/>
    <s v="CE Team "/>
    <s v="Ontario"/>
    <n v="1"/>
  </r>
  <r>
    <x v="4"/>
    <s v="Mi Casa Cantina Grand Opening"/>
    <d v="2024-04-25T00:00:00"/>
    <s v="Celebrate new terminal restraurant partner"/>
    <n v="50"/>
    <n v="50"/>
    <s v="Ribbon cutting for Mi Casa Cantina, Atif, President Wapner and Tommy G from SSP all spoke and cut a very long burrito and the ribbon. Food and promo was passed out to passengers and OIAA in attendance and the mariachi was there to perform."/>
    <m/>
    <s v="Ontario"/>
    <n v="1"/>
  </r>
  <r>
    <x v="4"/>
    <s v="Fourth of July"/>
    <d v="2023-07-03T00:00:00"/>
    <s v="Surprise and Delight Terminal4"/>
    <n v="50"/>
    <n v="50"/>
    <m/>
    <s v="Steph/Emily"/>
    <s v="Ontario"/>
    <n v="1"/>
  </r>
  <r>
    <x v="4"/>
    <s v="Chick-fil-A Grand Opening"/>
    <d v="2023-05-25T00:00:00"/>
    <s v="Ribbon cutting for CFA"/>
    <n v="50"/>
    <n v="50"/>
    <s v="Em's cake was a hit!"/>
    <s v="Steph"/>
    <s v="Ontario"/>
    <n v="1"/>
  </r>
  <r>
    <x v="4"/>
    <s v="Jetblue Surprise &amp; Delight"/>
    <d v="2022-09-08T00:00:00"/>
    <s v="Engage with passengers"/>
    <n v="50"/>
    <n v="50"/>
    <s v="Great engagement with passengers"/>
    <s v="Steph, Priscilla"/>
    <s v="Ontario"/>
    <n v="1"/>
  </r>
  <r>
    <x v="4"/>
    <s v="35th Anniversary of ADA"/>
    <d v="2025-07-24T00:00:00"/>
    <s v="Celebrate 35th anniversary of the ADA"/>
    <n v="60"/>
    <n v="60"/>
    <m/>
    <s v="Connie Royal"/>
    <s v="Ontario"/>
    <n v="1"/>
  </r>
  <r>
    <x v="4"/>
    <s v="*Speaking* WEREP Breakfast"/>
    <d v="2024-07-26T00:00:00"/>
    <s v="Presenting "/>
    <n v="60"/>
    <n v="60"/>
    <s v="Good turnout, would reccommend doing this event in the Fall, usualkly there are closer to 100 attendees however summer tends to make the crowds smaller in this ORG. A lot of great questions and had somebody ask about the big shutdown so I was able to bring up our IT teama nd the airport's recognition in socal newspapers for handling the situation quickly and efficiently so passengers did not deal with as many issues as other airports across the world."/>
    <s v="Sadie Gribbon"/>
    <s v="Rancho Cucamonga"/>
    <n v="1"/>
  </r>
  <r>
    <x v="4"/>
    <s v="Memorial Day Surprise &amp; Delight"/>
    <d v="2022-05-27T00:00:00"/>
    <s v="Engage with passengers"/>
    <n v="60"/>
    <n v="60"/>
    <s v="Good engagement with passengers"/>
    <s v="Steph, Priscilla"/>
    <s v="Ontario"/>
    <n v="1"/>
  </r>
  <r>
    <x v="4"/>
    <s v="GOCAL Quarterly Luncheon"/>
    <d v="2025-04-22T00:00:00"/>
    <s v="Networking "/>
    <n v="10"/>
    <n v="60"/>
    <m/>
    <s v="Emily Paredez, Steph King, Sadie G"/>
    <s v="Ontario"/>
    <n v="0.16666666666666666"/>
  </r>
  <r>
    <x v="4"/>
    <s v="La Habra Collaborative Meeting"/>
    <d v="2025-01-15T00:00:00"/>
    <s v="Networking"/>
    <n v="8"/>
    <n v="60"/>
    <s v="This was the first time I attended this group's meeting. They meet once every two months, and so the attendance is very high. I wasn't able to engage with as many people as I would have liked, but at least I know now how the format of the meeting is, so when I attend again next time I can find a way to speak to the larger group."/>
    <s v="Connie Royal"/>
    <s v="La Habra"/>
    <n v="0.13333333333333333"/>
  </r>
  <r>
    <x v="4"/>
    <s v="Angel Tree Drive"/>
    <d v="2021-12-13T00:00:00"/>
    <s v="Collect gift donations"/>
    <n v="56"/>
    <n v="70"/>
    <s v="56 out of 70 tags/gifts were taken care of by staff, executive team covered 14 tags "/>
    <s v="Priscilla, Steph"/>
    <s v="Ontario"/>
    <n v="0.8"/>
  </r>
  <r>
    <x v="4"/>
    <s v="Go Cal Quartery Luncheon"/>
    <d v="2025-07-22T00:00:00"/>
    <s v="Networking "/>
    <n v="3"/>
    <n v="70"/>
    <m/>
    <s v="Emily, Steph,Sadie, Jenny, Connie, Juleen"/>
    <s v="Ontario"/>
    <n v="4.2857142857142858E-2"/>
  </r>
  <r>
    <x v="4"/>
    <s v="Artist Reception"/>
    <d v="2024-11-17T00:00:00"/>
    <s v="Celebrate Art @ ONT program"/>
    <n v="75"/>
    <n v="75"/>
    <m/>
    <m/>
    <s v="Ontario"/>
    <n v="1"/>
  </r>
  <r>
    <x v="4"/>
    <s v="3Sixty Duty Free Grand Opening "/>
    <d v="2023-09-21T00:00:00"/>
    <s v="Ribbon Cutting "/>
    <n v="75"/>
    <n v="75"/>
    <m/>
    <s v="CE Team/Lead-Emily "/>
    <s v="Ontario"/>
    <n v="1"/>
  </r>
  <r>
    <x v="4"/>
    <s v="Employee Event"/>
    <d v="2021-11-02T00:00:00"/>
    <s v="Lead for event"/>
    <n v="20"/>
    <n v="75"/>
    <s v="Needed more tables and chairs"/>
    <s v="Steph, Priscilla"/>
    <s v="Ontario"/>
    <n v="0.26666666666666666"/>
  </r>
  <r>
    <x v="4"/>
    <s v="Economic Workforce Development Committee of Lake Elsinore"/>
    <d v="2024-08-22T00:00:00"/>
    <s v="Networking "/>
    <n v="10"/>
    <n v="75"/>
    <s v="This was a great event, Supervisor Karen Spiegel spoke about county issues and updates as well as offered a ton of insight to what Riverside county is needing. Aleways a ton of officials from Lake Elsinore, Temecula, Corona and the county in attendance and is a great room to be in."/>
    <s v="Sadie Gribbon"/>
    <s v="Lake Elsinore"/>
    <n v="0.13333333333333333"/>
  </r>
  <r>
    <x v="4"/>
    <s v="Claremont TopGolf Tournament"/>
    <d v="2025-04-24T00:00:00"/>
    <s v="Networking "/>
    <n v="20"/>
    <n v="80"/>
    <m/>
    <s v="Sadie Gribbon"/>
    <s v="Claremont"/>
    <n v="0.25"/>
  </r>
  <r>
    <x v="4"/>
    <s v="March of Dimes Signature Chefs Dinner"/>
    <d v="2021-10-26T00:00:00"/>
    <s v="Attend Dinner/network/accept award"/>
    <n v="10"/>
    <n v="80"/>
    <s v="Difficult venue to network/ issues with what ONT promised MOD"/>
    <s v="Steph, Priscilla"/>
    <s v="Ontario"/>
    <n v="0.125"/>
  </r>
  <r>
    <x v="4"/>
    <s v="Visit Temecula Valley Marketing Summit "/>
    <d v="2025-09-04T00:00:00"/>
    <s v="Networking"/>
    <n v="100"/>
    <n v="100"/>
    <m/>
    <s v="CE Team "/>
    <s v="Temecula "/>
    <n v="1"/>
  </r>
  <r>
    <x v="4"/>
    <s v="City of Chino Council Meeting"/>
    <d v="2024-11-19T00:00:00"/>
    <s v="Networking "/>
    <n v="100"/>
    <n v="100"/>
    <s v="Council meeting to present check to Chino Community Theatre"/>
    <s v="Paredez, Emily "/>
    <s v="Chino Valley"/>
    <n v="1"/>
  </r>
  <r>
    <x v="4"/>
    <s v="City of chinos All inclusion community event"/>
    <d v="2024-09-14T00:00:00"/>
    <s v="Booth"/>
    <n v="100"/>
    <n v="100"/>
    <s v="smaller turnout but spread the word about sunflower program"/>
    <s v="Paredez, Emily and Sadie Gribbon"/>
    <s v="Chino Valley"/>
    <n v="1"/>
  </r>
  <r>
    <x v="4"/>
    <s v="Centennial Week- OFD + OPD"/>
    <d v="2024-03-14T00:00:00"/>
    <s v="ONT Centennial Celebration "/>
    <n v="100"/>
    <n v="100"/>
    <m/>
    <s v="CE Team "/>
    <s v="Ontario"/>
    <n v="1"/>
  </r>
  <r>
    <x v="4"/>
    <s v="Centennial Week- OIAA"/>
    <d v="2024-03-13T00:00:00"/>
    <s v="ONT Centennial Celebration "/>
    <n v="100"/>
    <n v="100"/>
    <m/>
    <s v="CE Team "/>
    <s v="Ontario"/>
    <n v="1"/>
  </r>
  <r>
    <x v="4"/>
    <s v="Centennial Week- Passengers "/>
    <d v="2024-03-12T00:00:00"/>
    <s v="ONT Centennial Celebration "/>
    <n v="100"/>
    <n v="100"/>
    <s v="Passengers were excited and appreciative, passengers liked to hear about the history of ONT"/>
    <s v="CE Team "/>
    <s v="Ontario"/>
    <n v="1"/>
  </r>
  <r>
    <x v="4"/>
    <s v="Steve Marquardts Retirement Party "/>
    <d v="2023-09-26T00:00:00"/>
    <s v="Retirement Party "/>
    <n v="100"/>
    <n v="100"/>
    <m/>
    <s v="CE Team/Lead-Emily "/>
    <s v="Ontario"/>
    <n v="1"/>
  </r>
  <r>
    <x v="4"/>
    <s v="Upland Golf Tournament"/>
    <d v="2022-05-16T00:00:00"/>
    <s v="Manage booth/network"/>
    <n v="75"/>
    <n v="100"/>
    <s v="Don't recommend sponsoring this event again; not enough engagement for managing booth on golf hole"/>
    <s v="Steph, Priscilla"/>
    <s v="Ontario"/>
    <n v="0.75"/>
  </r>
  <r>
    <x v="4"/>
    <s v="Paw Squad Fashion Show"/>
    <d v="2022-04-29T00:00:00"/>
    <s v="Organize event for passengers"/>
    <n v="70"/>
    <n v="100"/>
    <s v="Paw Squad, OPARC, students and passengers were present; great event!"/>
    <s v="Priscilla, Steph"/>
    <s v="Ontario"/>
    <n v="0.7"/>
  </r>
  <r>
    <x v="4"/>
    <s v="RC Golf Tournament"/>
    <d v="2023-05-01T00:00:00"/>
    <s v="Networking"/>
    <n v="60"/>
    <n v="100"/>
    <s v="Greeter at event and got to speak to everyone as they entered"/>
    <s v="Steph"/>
    <s v="Ontario"/>
    <n v="0.6"/>
  </r>
  <r>
    <x v="4"/>
    <s v="SBC Economic Forecast"/>
    <d v="2022-06-29T00:00:00"/>
    <s v="Manage booth/network"/>
    <n v="30"/>
    <n v="100"/>
    <s v="Not great engagement but event was free (per Scott)"/>
    <s v="Steph"/>
    <s v="Ontario"/>
    <n v="0.3"/>
  </r>
  <r>
    <x v="4"/>
    <s v="Claremont Chamber Golf &quot;Tournament&quot;"/>
    <d v="2024-04-25T00:00:00"/>
    <s v="Networking "/>
    <n v="15"/>
    <n v="100"/>
    <s v="Good tunrout, not as optimal for mingling until later in the event but still got some activations in and deeper 1v1 conversations with the poeple in our bay. I would reccommend again to show support for the chamber."/>
    <s v="Sadie Gribbon and Stephanie King"/>
    <m/>
    <n v="0.15"/>
  </r>
  <r>
    <x v="4"/>
    <s v="SGVEP Gala"/>
    <d v="2024-10-24T00:00:00"/>
    <s v="Networking"/>
    <n v="12"/>
    <n v="100"/>
    <s v="Event was not organized well and lots of elected officials"/>
    <s v="Paredez,Emily "/>
    <s v="San Gabriel"/>
    <n v="0.12"/>
  </r>
  <r>
    <x v="4"/>
    <s v="Chino Hills State of the City"/>
    <d v="2024-04-30T00:00:00"/>
    <s v="Networking "/>
    <n v="10"/>
    <n v="100"/>
    <s v="We had about 30 minutes before the event to mingle and network, a lot of officials at the event and a good program all around. I am aware that we were Chairman's Circle and not sure what that entailed, however ONT did not have any recognition during the program (again, not sure if we were supposed to). "/>
    <s v="Sadie Gribbon and Jordie Salvador"/>
    <m/>
    <n v="0.1"/>
  </r>
  <r>
    <x v="4"/>
    <s v="Azusa State of the City"/>
    <d v="2024-04-25T00:00:00"/>
    <s v="Networking "/>
    <n v="5"/>
    <n v="100"/>
    <s v="Not a usual State of the City Event. It was presented in an auditorium. We learned a lot about the city and what they offer the community. The event went on for longer than we thought it would and left before the dinner started which would have been 8pm."/>
    <s v="Jordie Salvador &amp; Connie Royal"/>
    <m/>
    <n v="0.05"/>
  </r>
  <r>
    <x v="4"/>
    <s v="Chino State of the City"/>
    <d v="2024-05-14T00:00:00"/>
    <s v="Networking "/>
    <n v="2"/>
    <n v="100"/>
    <s v="Big turn out, but the event was more auditorium based and not a very social setting. "/>
    <s v="Jordie Salvador"/>
    <m/>
    <n v="0.02"/>
  </r>
  <r>
    <x v="4"/>
    <s v="Alaska Airlines Disability Flight Experience"/>
    <d v="2025-09-27T00:00:00"/>
    <s v="Support ADA community; bring community to ONT"/>
    <n v="105"/>
    <n v="105"/>
    <m/>
    <s v="Connie Royal"/>
    <s v="Ontario"/>
    <n v="1"/>
  </r>
  <r>
    <x v="4"/>
    <s v="ASPIRE Lounge Opening"/>
    <d v="2022-05-26T00:00:00"/>
    <s v="Organize grand opening"/>
    <n v="120"/>
    <n v="120"/>
    <s v="Great event in ONT terminals for new vendor"/>
    <s v="Steph"/>
    <s v="Ontario"/>
    <n v="1"/>
  </r>
  <r>
    <x v="4"/>
    <s v="Southwest 40th Anniversary at ONT"/>
    <d v="2025-05-15T00:00:00"/>
    <s v="Celebrate Southwest Airlines' 40th anniversary at ONT"/>
    <n v="80"/>
    <n v="120"/>
    <m/>
    <s v="Connie Royal"/>
    <s v="Ontario"/>
    <n v="0.66666666666666663"/>
  </r>
  <r>
    <x v="4"/>
    <s v="Quakes Military Appreciation Night"/>
    <d v="2024-07-03T00:00:00"/>
    <s v="OIAA staff picnic"/>
    <n v="125"/>
    <n v="125"/>
    <s v="All tickets were given awayÖ some people dropped last minute, but we had some needing more, so it worked out"/>
    <s v="Connie Royal / OIAA staff"/>
    <s v="Ontario"/>
    <n v="1"/>
  </r>
  <r>
    <x v="4"/>
    <s v="30 Million Passenger Celebration"/>
    <d v="2023-03-23T00:00:00"/>
    <s v="Gate activation for 30 mil pax on NW flight"/>
    <n v="100"/>
    <n v="135"/>
    <s v="Great event"/>
    <s v="Steph/Emily"/>
    <s v="Ontario"/>
    <n v="0.7407407407407407"/>
  </r>
  <r>
    <x v="4"/>
    <s v="SBCTA Bus to Bus Expo"/>
    <d v="2022-09-29T00:00:00"/>
    <s v="Booth "/>
    <n v="50"/>
    <n v="150"/>
    <s v="Supports SBCTA; crowd ful of tech/transportation groups"/>
    <s v="Steph, Priscilla"/>
    <s v="Ontario"/>
    <n v="0.33333333333333331"/>
  </r>
  <r>
    <x v="4"/>
    <s v="Ontario State of the City"/>
    <d v="2022-03-16T00:00:00"/>
    <s v="Network"/>
    <n v="50"/>
    <n v="150"/>
    <s v="Decent engagement; hosted a booth in reception after presentation"/>
    <s v="Priscilla, Steph"/>
    <s v="Ontario"/>
    <n v="0.33333333333333331"/>
  </r>
  <r>
    <x v="4"/>
    <s v="Surprise and Delight: Unpopular Opinion"/>
    <d v="2021-12-14T00:00:00"/>
    <s v="Customer Appreciation + Engagement"/>
    <n v="87"/>
    <n v="200"/>
    <s v="Customers enjoyed hot chocolate and participating in unpopular opinions."/>
    <s v="Steph, Priscilla"/>
    <s v="Ontario"/>
    <n v="0.435"/>
  </r>
  <r>
    <x v="4"/>
    <s v="Surprise and Delight"/>
    <d v="2021-12-08T00:00:00"/>
    <s v="Promo table"/>
    <n v="68"/>
    <n v="200"/>
    <s v="Set up a table in terminal 4, passed out hot chocolate and promo, great response from passengers"/>
    <s v="Steph, Priscilla"/>
    <s v="Ontario"/>
    <n v="0.34"/>
  </r>
  <r>
    <x v="4"/>
    <s v="Travel Planner Forum"/>
    <d v="2024-09-12T00:00:00"/>
    <s v="Networking "/>
    <n v="5"/>
    <n v="200"/>
    <s v="This event was not the best opportunity for networking, it did give a lot fo insght to the travel planning industry and corporate travel planners. However, the mixers that are coming up ar enot such a formal seated event which could lead to better networking prospects. My one concern is that this group may be aimed toward Quinn as there are multiple reps from airlines in attendance."/>
    <s v="Sadie Gribbon, Emily Paredez, Connie Royal"/>
    <s v="West Hollywood"/>
    <n v="2.5000000000000001E-2"/>
  </r>
  <r>
    <x v="4"/>
    <s v="UCLA Anderson Forecast "/>
    <d v="2022-09-21T00:00:00"/>
    <s v="Network"/>
    <n v="10"/>
    <n v="230"/>
    <s v="Per Quinn's Request; don't see value"/>
    <s v="Steph"/>
    <s v="Ontario"/>
    <n v="4.3478260869565216E-2"/>
  </r>
  <r>
    <x v="4"/>
    <s v="State of the County"/>
    <d v="2021-10-06T00:00:00"/>
    <s v="Network/announce new ONT position"/>
    <n v="50"/>
    <n v="250"/>
    <s v="Continue sponsorship"/>
    <s v="Steph, Priscilla"/>
    <s v="Ontario"/>
    <n v="0.2"/>
  </r>
  <r>
    <x v="4"/>
    <s v="Centennial Week- Tenants "/>
    <d v="2024-03-11T00:00:00"/>
    <s v="ONT Centennial Celebration "/>
    <n v="300"/>
    <n v="300"/>
    <s v="Order more cookies, we didn't hit FedEx or UPS, potentially a nut free option? Staff was very appreciative of cookies, great content!"/>
    <s v="CE Team "/>
    <s v="Ontario"/>
    <n v="1"/>
  </r>
  <r>
    <x v="4"/>
    <s v="Disability Flight Experience "/>
    <d v="2023-10-07T00:00:00"/>
    <s v="Resource Fair "/>
    <n v="300"/>
    <n v="300"/>
    <m/>
    <s v="CE Team/Lead-Emily "/>
    <s v="Ontario"/>
    <n v="1"/>
  </r>
  <r>
    <x v="4"/>
    <s v="SCAG Conference"/>
    <d v="2022-05-06T00:00:00"/>
    <s v="Manage booth/network"/>
    <n v="100"/>
    <n v="300"/>
    <s v="Good networking opportunity with elected officials and business leaders from across socal"/>
    <s v="Steph, Priscilla"/>
    <s v="Ontario"/>
    <n v="0.33333333333333331"/>
  </r>
  <r>
    <x v="4"/>
    <s v="SBC State of the County"/>
    <d v="2023-09-27T00:00:00"/>
    <s v="Networking "/>
    <n v="25"/>
    <n v="300"/>
    <s v="Difficult to network; lack of seating for program"/>
    <s v="Steph"/>
    <s v="Ontario"/>
    <n v="8.3333333333333329E-2"/>
  </r>
  <r>
    <x v="4"/>
    <s v="State of the Airport"/>
    <d v="2021-11-01T00:00:00"/>
    <s v="Lead for Registration"/>
    <n v="320"/>
    <n v="320"/>
    <s v="Great event; need to change registration format; should announce electeds"/>
    <s v="Steph, Priscilla"/>
    <s v="Ontario"/>
    <n v="1"/>
  </r>
  <r>
    <x v="4"/>
    <s v="Ontario Open House &amp; Taste of ONT"/>
    <d v="2022-03-19T00:00:00"/>
    <s v="Manage booth/network"/>
    <n v="100"/>
    <n v="400"/>
    <s v="Good opportunity to network with community; partnered with OPD and made special promo pieces "/>
    <s v="Priscilla, Steph"/>
    <s v="Ontario"/>
    <n v="0.25"/>
  </r>
  <r>
    <x v="4"/>
    <s v="State of the Airport"/>
    <d v="2022-11-01T00:00:00"/>
    <s v="Event "/>
    <n v="450"/>
    <n v="450"/>
    <s v="Great event"/>
    <s v="Steph"/>
    <s v="Ontario"/>
    <n v="1"/>
  </r>
  <r>
    <x v="4"/>
    <s v="OPD OPen House "/>
    <d v="2024-10-05T00:00:00"/>
    <s v="Booth "/>
    <n v="500"/>
    <n v="500"/>
    <m/>
    <s v="Jennifer and Jordan "/>
    <s v="Ontario"/>
    <n v="1"/>
  </r>
  <r>
    <x v="4"/>
    <s v="State of the Airport "/>
    <d v="2023-11-01T00:00:00"/>
    <s v="Highlight ONT's accomplishments and future "/>
    <n v="500"/>
    <n v="500"/>
    <m/>
    <s v="CE Team "/>
    <s v="Ontario"/>
    <n v="1"/>
  </r>
  <r>
    <x v="4"/>
    <s v="State of the Airport "/>
    <d v="2024-11-06T00:00:00"/>
    <m/>
    <n v="600"/>
    <n v="600"/>
    <m/>
    <m/>
    <s v="Ontario"/>
    <n v="1"/>
  </r>
  <r>
    <x v="4"/>
    <s v="2nd Annual ONTxLAFC Watch Party"/>
    <d v="2025-08-23T00:00:00"/>
    <s v="Collaborate with Rev'M for the 2nd annual ONTxLAFC Watch Party in an effort to assist Advertising and Partnerships"/>
    <n v="641"/>
    <n v="641"/>
    <m/>
    <s v="Sadie Gribbon"/>
    <s v="Ontario"/>
    <n v="1"/>
  </r>
  <r>
    <x v="4"/>
    <s v="ONT Tenant Appreciation Day "/>
    <d v="2024-03-04T00:00:00"/>
    <s v="Celebrate ONT Tenants "/>
    <n v="650"/>
    <n v="650"/>
    <s v="Well attended. Delivering food at T2 was easier than due to checks. Try to get lawn mowed next year. Request less Veggie burgers. "/>
    <s v="CE Team "/>
    <s v="Ontario"/>
    <n v="1"/>
  </r>
  <r>
    <x v="4"/>
    <s v="Ontario Reindeer Run"/>
    <d v="2022-12-17T00:00:00"/>
    <s v="Booth"/>
    <n v="461"/>
    <n v="700"/>
    <s v="Great enagement "/>
    <s v="Steph"/>
    <s v="Ontario"/>
    <n v="0.65857142857142859"/>
  </r>
  <r>
    <x v="4"/>
    <s v="Tenant Event"/>
    <d v="2021-11-04T00:00:00"/>
    <s v="Lead for event"/>
    <n v="20"/>
    <n v="700"/>
    <s v="Set-up and left to attend Aha!"/>
    <s v="Steph, Priscilla"/>
    <s v="Ontario"/>
    <n v="2.8571428571428571E-2"/>
  </r>
  <r>
    <x v="4"/>
    <s v="Lake Elsinore Mariachi Fest "/>
    <d v="2024-09-21T00:00:00"/>
    <s v="Booth"/>
    <n v="637"/>
    <n v="1000"/>
    <s v="Woujld prefer if booth was closer to entrance, this year was not as busy as the previous year and am questioning if this is THE event we should sponsor in Lake Elsinore next year as the turnout was not as high as expected. The organizers also bumped our sponsorship up to include VIP passes, Mezcal tastings and a VIP table in the fornt of the stage with free food and dirnks but they did not tell us any of this until we arrived day of which was a bummer. Also good to note that if we do sponsor next year, the lowest sponsorship would be the only option, if I werr a sponsor that paid for the 10k level and saw somebody at the 2,500 level ended up with all of the same perks, I would not have been happy."/>
    <s v="Sadie Gribbon, Jenny Contreras"/>
    <s v="Lake Elsinore"/>
    <n v="0.63700000000000001"/>
  </r>
  <r>
    <x v="4"/>
    <s v="Irvine Global Festival"/>
    <d v="2021-10-09T00:00:00"/>
    <s v="Manage booth"/>
    <n v="500"/>
    <n v="1000"/>
    <s v="Great event; need better communication with staff for shifts"/>
    <s v="Steph, Priscilla"/>
    <s v="Ontario"/>
    <n v="0.5"/>
  </r>
  <r>
    <x v="4"/>
    <s v="San Bernardino State of the County"/>
    <d v="2024-09-18T00:00:00"/>
    <s v="Booth"/>
    <n v="150"/>
    <n v="1000"/>
    <s v="A lot of poeple asking about SB Airport and if it has effected ONT's numbers. The setup was conducsive to allowing many poeple to walk through, not a ton of promo needed for this event but would reccommend bringing tote bags next year as a lot of people asked is we had any and other vendors did not."/>
    <s v="Sadie Gribbon, Connie Royal"/>
    <s v="Ontario"/>
    <n v="0.15"/>
  </r>
  <r>
    <x v="4"/>
    <s v="National Night Out - Ontario"/>
    <d v="2024-08-06T00:00:00"/>
    <s v="Booth"/>
    <n v="150"/>
    <n v="1000"/>
    <s v="Booth for city"/>
    <m/>
    <s v="Ontario"/>
    <n v="0.15"/>
  </r>
  <r>
    <x v="4"/>
    <s v="City of Ontario 5k Reindeer Run"/>
    <d v="2021-12-11T00:00:00"/>
    <s v="Manage booth/5k participants"/>
    <n v="600"/>
    <n v="1500"/>
    <s v="Sponsorship encouraged by Atif, great engagements, holiday specific promo/booth dÈcor and 5k participant accessory for next year"/>
    <s v="Priscilla"/>
    <s v="Ontario"/>
    <n v="0.4"/>
  </r>
  <r>
    <x v="4"/>
    <s v="Tour De Foothills"/>
    <d v="2021-11-13T00:00:00"/>
    <s v="Manage booth/network"/>
    <n v="50"/>
    <n v="1500"/>
    <s v="Not a good event to manage booth; ideal for food/drink vendor"/>
    <s v="Steph, Priscilla"/>
    <s v="Ontario"/>
    <n v="3.3333333333333333E-2"/>
  </r>
  <r>
    <x v="4"/>
    <s v="OFD Open House"/>
    <d v="2023-10-05T00:00:00"/>
    <s v="Booth"/>
    <n v="774"/>
    <n v="2000"/>
    <s v="Very busy event, 3 people would have been best since it was nonstop but that of course is not always an option. Mostly children under the age of 10 so bringing more bubbles, yo-yos and planes is best. "/>
    <s v="Sadie Gribbon, Connie Royal"/>
    <s v="Ontario"/>
    <n v="0.38700000000000001"/>
  </r>
  <r>
    <x v="4"/>
    <s v="Arcadia Moon Festival"/>
    <d v="2024-09-14T00:00:00"/>
    <s v="Booth"/>
    <n v="1000"/>
    <n v="3000"/>
    <s v="HUGE turnout, next year we need a minimum of 3 CE team members it was nonstop!! MUST have at least one spinwheel but reccommend 2 spinwheels next year if we are able to bring an additional table (Longo did so I don't see it being a problem). Consistent line of 30-50 people waiting to use spinwheel, GREAT OPP for surveys.  A lot of trvaleres taking ONT to Taipei."/>
    <s v="Sadie Gribbon, Connie Royal"/>
    <s v="Arcadia"/>
    <n v="0.33333333333333331"/>
  </r>
  <r>
    <x v="4"/>
    <s v="Ontario State of the City "/>
    <d v="2024-03-27T00:00:00"/>
    <s v="Networking "/>
    <n v="0"/>
    <n v="0"/>
    <m/>
    <s v="Paredez, Emily, Stephanie King, Jordie Salvador"/>
    <m/>
    <e v="#DIV/0!"/>
  </r>
  <r>
    <x v="4"/>
    <s v="Toast Masters Meeting"/>
    <d v="2024-06-13T00:00:00"/>
    <s v="Networking "/>
    <n v="10"/>
    <n v="10"/>
    <s v="Small group. Not a lot of networking time, but they can help make public speaking better. I may visit them again with a larger group."/>
    <s v="Jordie Salvador"/>
    <m/>
    <n v="1"/>
  </r>
  <r>
    <x v="4"/>
    <s v="West End Real Estate Professionals"/>
    <d v="2023-08-25T00:00:00"/>
    <s v="Presentation "/>
    <n v="60"/>
    <n v="60"/>
    <s v="Great feedback from presentation"/>
    <s v="Steph"/>
    <s v="Ontario"/>
    <n v="1"/>
  </r>
  <r>
    <x v="4"/>
    <s v="On the Move: All Things That Go @ San Bernardino County Museum"/>
    <d v="2024-05-26T00:00:00"/>
    <s v="Booth "/>
    <n v="250"/>
    <n v="250"/>
    <s v="Event was not well attended on Sunday, but according to vendors it was very busy on Sat. Recommend Changing dates next year! "/>
    <s v="Jennifer Contreras and Jordan Salvador "/>
    <m/>
    <n v="1"/>
  </r>
  <r>
    <x v="4"/>
    <s v="5K at the Runway"/>
    <d v="2022-11-12T00:00:00"/>
    <s v="Event "/>
    <n v="1000"/>
    <n v="1000"/>
    <s v="Great event"/>
    <s v="Steph"/>
    <s v="Ontario"/>
    <n v="1"/>
  </r>
  <r>
    <x v="4"/>
    <s v="5K at the Runway "/>
    <d v="2024-02-04T00:00:00"/>
    <m/>
    <n v="1600"/>
    <n v="1600"/>
    <m/>
    <s v="CE Team "/>
    <s v="Ontario"/>
    <n v="1"/>
  </r>
  <r>
    <x v="4"/>
    <s v="5K at the Runway"/>
    <d v="2025-02-08T00:00:00"/>
    <m/>
    <n v="2100"/>
    <n v="2100"/>
    <m/>
    <m/>
    <s v="Ontario"/>
    <n v="1"/>
  </r>
  <r>
    <x v="5"/>
    <s v="CAPA Americas Aviation Summit"/>
    <d v="2023-04-27T00:00:00"/>
    <s v="Conference"/>
    <n v="250"/>
    <n v="0"/>
    <m/>
    <s v="Emily"/>
    <s v="Ontario"/>
    <e v="#DIV/0!"/>
  </r>
  <r>
    <x v="5"/>
    <s v="Serving With Purpose"/>
    <d v="2024-05-22T00:00:00"/>
    <s v="Booth "/>
    <n v="100"/>
    <n v="0"/>
    <s v="The event was very interesting. They had us in the conference room so that we could be a part of listening to the presentations. During breaks is when people came up to our booth. "/>
    <s v="Emily Paderez, Jennifer Contreras, and Jordie Salvador"/>
    <m/>
    <e v="#DIV/0!"/>
  </r>
  <r>
    <x v="5"/>
    <s v="Routes World"/>
    <d v="2023-10-20T00:00:00"/>
    <s v="Booth"/>
    <n v="100"/>
    <n v="0"/>
    <s v="Great event! ONT had the best booth. Recommend more promo next time and digitial screens!"/>
    <s v="Steph"/>
    <s v="Ontario"/>
    <e v="#DIV/0!"/>
  </r>
  <r>
    <x v="5"/>
    <s v="CAPA Americas Aviation Summit"/>
    <d v="2023-04-25T00:00:00"/>
    <s v="Tour"/>
    <n v="12"/>
    <n v="12"/>
    <s v="Lots of registered did not attend"/>
    <s v="Emily"/>
    <s v="Ontario"/>
    <n v="1"/>
  </r>
  <r>
    <x v="5"/>
    <s v="ONT Brand Summit"/>
    <d v="2024-04-23T00:00:00"/>
    <s v="Team Brand Review"/>
    <n v="40"/>
    <n v="40"/>
    <m/>
    <s v="MarComm Division"/>
    <s v="Ontario"/>
    <n v="1"/>
  </r>
  <r>
    <x v="5"/>
    <s v="Greater Ontario Business Council Vision 2025 Summit"/>
    <d v="2025-02-21T00:00:00"/>
    <s v="Networking "/>
    <n v="5"/>
    <n v="60"/>
    <m/>
    <s v="Sadie Gribbon"/>
    <s v="Ontario"/>
    <n v="8.3333333333333329E-2"/>
  </r>
  <r>
    <x v="5"/>
    <s v="CAPA Americas Aviation Summit"/>
    <d v="2023-04-25T00:00:00"/>
    <s v="Welcome Reception"/>
    <n v="30"/>
    <n v="80"/>
    <s v="Double Tree was great"/>
    <s v="Steph"/>
    <s v="Ontario"/>
    <n v="0.375"/>
  </r>
  <r>
    <x v="5"/>
    <s v="GOCVB Tourism &amp; Hospitality Summit"/>
    <d v="2023-01-20T00:00:00"/>
    <s v="Networking"/>
    <n v="30"/>
    <n v="100"/>
    <s v="Great updates that included ONT; good mix of people"/>
    <s v="Steph"/>
    <s v="Ontario"/>
    <n v="0.3"/>
  </r>
  <r>
    <x v="5"/>
    <s v="CAPA Americas Aviation Summit"/>
    <d v="2023-04-26T00:00:00"/>
    <s v="Networking Dinner"/>
    <n v="40"/>
    <n v="135"/>
    <s v="Amazing event"/>
    <s v="Steph/Emily"/>
    <s v="Ontario"/>
    <n v="0.29629629629629628"/>
  </r>
  <r>
    <x v="5"/>
    <s v="SGV Women's Summit"/>
    <d v="2023-03-07T00:00:00"/>
    <s v="Networking"/>
    <n v="100"/>
    <n v="200"/>
    <s v="Decent turn out for the event. Several chambers there and connected with the Duarte Chamber CEO "/>
    <s v="Paredez, Emily"/>
    <s v="Ontario"/>
    <n v="0.5"/>
  </r>
  <r>
    <x v="5"/>
    <s v="Riverside County Small Business "/>
    <d v="2023-02-17T00:00:00"/>
    <s v="Networking "/>
    <n v="50"/>
    <n v="200"/>
    <s v="Great conversations and good ONT exposure for the local communties.  "/>
    <s v="Rehmani, Ain "/>
    <s v="Ontario"/>
    <n v="0.25"/>
  </r>
  <r>
    <x v="5"/>
    <s v="SCAG Conference"/>
    <d v="2023-05-04T00:00:00"/>
    <s v="booth"/>
    <n v="200"/>
    <n v="250"/>
    <s v="Great interaction with elected officials; need to push local control more"/>
    <s v="Steph"/>
    <s v="Ontario"/>
    <n v="0.8"/>
  </r>
  <r>
    <x v="5"/>
    <s v="CAPA Americas Aviation Summit"/>
    <d v="2023-04-26T00:00:00"/>
    <s v="Conference"/>
    <n v="35"/>
    <n v="250"/>
    <s v="Booth looked great"/>
    <s v="Steph/Emily"/>
    <s v="Ontario"/>
    <n v="0.14000000000000001"/>
  </r>
  <r>
    <x v="5"/>
    <s v="Mobility 21"/>
    <d v="2023-09-29T00:00:00"/>
    <s v="Networking "/>
    <n v="100"/>
    <n v="300"/>
    <s v="Great event. Lots of people excited to see ONT there and stopped by the booth."/>
    <s v="Paredez, Emily "/>
    <s v="Ontario"/>
    <n v="0.33333333333333331"/>
  </r>
  <r>
    <x v="5"/>
    <s v="SCAG"/>
    <d v="2024-05-02T00:00:00"/>
    <s v="Booth "/>
    <n v="400"/>
    <n v="500"/>
    <s v="Received compliments from So Cal Gas, Mayor of Anaheim, Councilmember from Manhattan Beach. Had a great location set up for booth"/>
    <s v="Emily Paredez and Jordie Salvador"/>
    <m/>
    <n v="0.8"/>
  </r>
  <r>
    <x v="5"/>
    <s v="SMART Airports"/>
    <d v="2025-08-19T00:00:00"/>
    <s v="Manage booth/staff President Wapner"/>
    <n v="100"/>
    <n v="1000"/>
    <s v="ONT hosts next year; CR should prepare more for this event"/>
    <s v="Steph"/>
    <s v="Ontario"/>
    <n v="0.1"/>
  </r>
  <r>
    <x v="5"/>
    <s v="IPW"/>
    <d v="2025-09-23T00:00:00"/>
    <s v="Manage booth/network"/>
    <n v="60"/>
    <n v="1500"/>
    <s v="Recommend not partnering for conferences; did not like appointment schedule"/>
    <s v="Steph, Priscilla"/>
    <s v="Ontario"/>
    <n v="0.04"/>
  </r>
  <r>
    <x v="5"/>
    <s v="IPW"/>
    <d v="2025-05-24T00:00:00"/>
    <s v="Booth"/>
    <n v="100"/>
    <n v="6000"/>
    <s v="Great opportuniy for networking; need to match strategy with CVB"/>
    <s v="Steph"/>
    <s v="Ontario"/>
    <n v="1.6666666666666666E-2"/>
  </r>
  <r>
    <x v="5"/>
    <s v="AAAE Social Media Summit "/>
    <d v="2024-12-10T00:00:00"/>
    <s v="AAAE Conference/Airport Host Event"/>
    <n v="70"/>
    <n v="75"/>
    <s v="Counting engagements with Top Golf employees as well"/>
    <s v="CE Team "/>
    <s v="Ontario"/>
    <n v="0.93333333333333335"/>
  </r>
  <r>
    <x v="5"/>
    <s v="Women in Aviation "/>
    <d v="2023-02-23T00:00:00"/>
    <s v="Networking "/>
    <n v="100"/>
    <n v="1500"/>
    <s v="Unique event with a great expo. The seminars were okay but they did cancel one and a speaker didnt show up.  The audience was mostly student training pilots."/>
    <s v="Paredez, Emily"/>
    <s v="Ontario"/>
    <n v="6.6666666666666666E-2"/>
  </r>
  <r>
    <x v="6"/>
    <s v="STARLUX Inaugural"/>
    <d v="2025-06-02T00:00:00"/>
    <s v="Celebrate flight to Taipei"/>
    <n v="150"/>
    <n v="0"/>
    <m/>
    <s v="Steph"/>
    <s v="Ontario"/>
    <e v="#DIV/0!"/>
  </r>
  <r>
    <x v="6"/>
    <s v="Volaris El Salvador Inaugural"/>
    <d v="2023-07-01T00:00:00"/>
    <s v="Gate activation for Volaris"/>
    <n v="150"/>
    <n v="0"/>
    <m/>
    <s v="Steph/Emily"/>
    <s v="Ontario"/>
    <e v="#DIV/0!"/>
  </r>
  <r>
    <x v="6"/>
    <s v="TSM Activation"/>
    <d v="2022-10-06T00:00:00"/>
    <s v="Special guests in terminal"/>
    <n v="8"/>
    <n v="8"/>
    <s v="Supported Scott's partners"/>
    <s v="Steph, Priscilla"/>
    <s v="Ontario"/>
    <n v="1"/>
  </r>
  <r>
    <x v="6"/>
    <s v="NPA Gate Activation Inaugural Flight to Reno"/>
    <d v="2023-11-16T00:00:00"/>
    <s v="Gate activation for NP "/>
    <n v="35"/>
    <n v="35"/>
    <m/>
    <s v="Emily/Jenny "/>
    <s v="Ontario"/>
    <n v="1"/>
  </r>
  <r>
    <x v="6"/>
    <s v="Austin Inaugural (Southwest)"/>
    <d v="2022-03-10T00:00:00"/>
    <s v="Celebrate inaugural flight"/>
    <n v="45"/>
    <n v="50"/>
    <s v="Good engagement from passengers; excitement about new route"/>
    <s v="Steph, Priscilla"/>
    <s v="Ontario"/>
    <n v="0.9"/>
  </r>
  <r>
    <x v="6"/>
    <s v="NPA Gate Activation Inaugural Flight to Nashville"/>
    <d v="2023-11-17T00:00:00"/>
    <s v="Gate activation for NP "/>
    <n v="80"/>
    <n v="80"/>
    <m/>
    <s v="Emily/Jenny "/>
    <s v="Ontario"/>
    <n v="1"/>
  </r>
  <r>
    <x v="6"/>
    <s v="Frontier Sacramento Inaugural Flight"/>
    <d v="2024-07-11T00:00:00"/>
    <m/>
    <n v="100"/>
    <n v="100"/>
    <s v="Small flight, but handed out swag to passengers and other passengers passing through the gate. Overall a fun and successful time."/>
    <s v="Connie Royal / Passengers"/>
    <s v="Ontario"/>
    <n v="1"/>
  </r>
  <r>
    <x v="6"/>
    <s v="United Airlines Inaugural Flight to Chicago OíHare"/>
    <d v="2025-05-22T00:00:00"/>
    <s v="Celebrate Inaugural Flight to Chicago "/>
    <n v="125"/>
    <n v="125"/>
    <m/>
    <s v="Jennifer Contreras"/>
    <s v="Ontario"/>
    <n v="1"/>
  </r>
  <r>
    <x v="6"/>
    <s v="Volaris Inaugural Flight to Leon "/>
    <d v="2025-07-09T00:00:00"/>
    <s v="Celebrate Inaugural Flight to Leon"/>
    <n v="150"/>
    <n v="150"/>
    <m/>
    <s v="Jennifer Contreras"/>
    <s v="Ontario"/>
    <n v="1"/>
  </r>
  <r>
    <x v="6"/>
    <s v="Volaris Morelia (MLM) Inaugural Gate Activation"/>
    <d v="2025-07-08T00:00:00"/>
    <s v="Celebrate inaugural flight to Morelia"/>
    <n v="150"/>
    <n v="150"/>
    <m/>
    <s v="Connie Royal"/>
    <s v="Ontario"/>
    <n v="1"/>
  </r>
  <r>
    <x v="6"/>
    <s v="Volaris Inaugural Flight to Los Cabos"/>
    <d v="2025-07-04T00:00:00"/>
    <s v="Celebrate Inaugural flight to Los Cabos"/>
    <n v="150"/>
    <n v="150"/>
    <m/>
    <s v="Emily Paredez"/>
    <s v="Ontario"/>
    <n v="1"/>
  </r>
  <r>
    <x v="6"/>
    <s v="Southwest Inaugural Flight to Baltimore/Washington Int'l"/>
    <d v="2025-06-05T00:00:00"/>
    <s v="Celebrate flight to BWI w/airline and passengers"/>
    <n v="150"/>
    <n v="150"/>
    <m/>
    <s v="Sadie Gribbon"/>
    <s v="Ontario"/>
    <n v="1"/>
  </r>
  <r>
    <x v="6"/>
    <s v="Avelo Airlines Inaugural Flight"/>
    <d v="2024-10-10T00:00:00"/>
    <s v="Celebrate new airline and new route"/>
    <n v="75"/>
    <n v="150"/>
    <s v="Definitely smaller than we expected, but very well received by the community and OIAA"/>
    <s v="Connie Royal / Passengers"/>
    <s v="Ontario"/>
    <n v="0.5"/>
  </r>
  <r>
    <x v="6"/>
    <s v="Southwest Inaugural to Nashville"/>
    <d v="2024-06-04T00:00:00"/>
    <m/>
    <n v="160"/>
    <n v="160"/>
    <s v="Nearly a full plane. Partnership ith KFRG for flash mob, Hot Chicken from Clyde's Hot Chicken, Southwest brought out their heart cart. Posts on KFRG's social media and a FB and Instagram Live and stories posted on Pepper (Host) and KFRG's accounts. Wonderful turnout, a lot of crowd excitement and community excitement."/>
    <m/>
    <s v="Ontario"/>
    <n v="1"/>
  </r>
  <r>
    <x v="6"/>
    <s v="Northern Pacific Inaugural"/>
    <d v="2023-06-23T00:00:00"/>
    <s v="Gate activation for NP "/>
    <n v="100"/>
    <m/>
    <m/>
    <s v="Steph/Emily"/>
    <s v="Ontario"/>
    <e v="#DIV/0!"/>
  </r>
  <r>
    <x v="6"/>
    <s v="Frontier Inaugural Flight to El Paso and Houston "/>
    <d v="2024-05-17T00:00:00"/>
    <m/>
    <n v="60"/>
    <n v="60"/>
    <m/>
    <s v="CE Team "/>
    <s v="Ontario"/>
    <n v="1"/>
  </r>
  <r>
    <x v="6"/>
    <s v="Frontier Inaugural Flight to Portland "/>
    <d v="2021-04-10T00:00:00"/>
    <s v="Celebrate new Fontier route to PDX"/>
    <n v="75"/>
    <n v="75"/>
    <s v="Handed out ONT swag to passangers and hosted a raffle with 4 prizes including Frontier voucher provided by airline."/>
    <s v="CE Team "/>
    <s v="Ontario"/>
    <n v="1"/>
  </r>
  <r>
    <x v="6"/>
    <s v="Frontier Inaugural Flight to Salt Lake City "/>
    <d v="2021-04-10T00:00:00"/>
    <s v="Celebrate new Fontier route to SLC"/>
    <n v="75"/>
    <n v="75"/>
    <s v="Handed out ONT swag to passangers and hosted a raffle with 4 prizes including Frontier voucher provided by airline."/>
    <s v="CE Team "/>
    <s v="Ontario"/>
    <n v="1"/>
  </r>
  <r>
    <x v="6"/>
    <s v="HUB Groundbreaking"/>
    <d v="2024-07-18T00:00:00"/>
    <s v="Break ground on the  HUB"/>
    <n v="30"/>
    <n v="100"/>
    <m/>
    <m/>
    <s v="Ontario"/>
    <n v="0.3"/>
  </r>
  <r>
    <x v="6"/>
    <s v="Frontier to ATL"/>
    <d v="2021-07-16T00:00:00"/>
    <s v="Celebrate inaugural flight"/>
    <n v="80"/>
    <n v="140"/>
    <s v="Good engagement"/>
    <s v="Steph, Priscilla"/>
    <s v="Ontario"/>
    <n v="0.5714285714285714"/>
  </r>
  <r>
    <x v="6"/>
    <s v="Volaris 10-Year Anniversary at ONT"/>
    <d v="2021-04-10T00:00:00"/>
    <s v="Celebrate 10 years of service "/>
    <n v="150"/>
    <n v="150"/>
    <s v="Handed out ONT Swag, Birria Tacos, Horchata and Mexican Candy to passangers. Invited Mariachi Group to play live music for passangers. Hosted a raffle with 5 prizes including Volaris voucher and bag provided by airline."/>
    <s v="Connie Royal / Volaris Passengers, Volaris Staff, OIAA staff, Consulate of Mexico"/>
    <s v="Ontario"/>
    <n v="1"/>
  </r>
  <r>
    <x v="6"/>
    <s v="Asm. Michelle Rodriguez Inaugural Summer BBQ &amp; Resource Fair"/>
    <d v="2025-07-12T00:00:00"/>
    <s v="Booth "/>
    <n v="400"/>
    <n v="500"/>
    <m/>
    <s v="Connie Royal"/>
    <s v="Chino"/>
    <n v="0.8"/>
  </r>
  <r>
    <x v="7"/>
    <s v="Leads Lunch"/>
    <d v="2022-02-09T00:00:00"/>
    <m/>
    <n v="20"/>
    <n v="0"/>
    <m/>
    <s v="Priscilla"/>
    <s v="Ontario"/>
    <e v="#DIV/0!"/>
  </r>
  <r>
    <x v="7"/>
    <s v="Traveler's Aid Volunteer Appreciation Luncheon"/>
    <d v="2024-04-22T00:00:00"/>
    <s v="Celebrate TA + Volunteer Appreciation"/>
    <n v="60"/>
    <n v="60"/>
    <s v="Hosted a luncheon in the museum, Chet handled the program, Traveler's Aid volunteers were very appreciative."/>
    <s v="CE Team "/>
    <s v="Ontario"/>
    <n v="1"/>
  </r>
  <r>
    <x v="7"/>
    <s v="Employee Appreciation Lunch"/>
    <d v="2023-03-03T00:00:00"/>
    <s v="Celebrate OIAA employees"/>
    <n v="65"/>
    <n v="65"/>
    <s v="Emily did a great job! Get vegan cookies "/>
    <s v="Emily/Steph"/>
    <s v="Ontario"/>
    <n v="1"/>
  </r>
  <r>
    <x v="7"/>
    <s v="ATC Appreciation Lucheon partnered with Government Rel."/>
    <d v="2025-05-30T00:00:00"/>
    <s v="Supporting another department/appreciation for ATC"/>
    <n v="12"/>
    <n v="12"/>
    <m/>
    <s v="Emily Paredez"/>
    <s v="Ontario"/>
    <n v="1"/>
  </r>
  <r>
    <x v="7"/>
    <s v="ATC Appreciation Lucheon partnered with Government Rel."/>
    <d v="2025-05-27T00:00:00"/>
    <s v="Supporting another department/appreciation for ATC"/>
    <n v="15"/>
    <n v="15"/>
    <m/>
    <s v="Sadie Gribbon"/>
    <s v="Ontario"/>
    <n v="1"/>
  </r>
  <r>
    <x v="7"/>
    <s v="Travelers Aid Luncheon "/>
    <d v="2025-04-11T00:00:00"/>
    <s v="Appreciation Lunchon for TA Volunteers "/>
    <n v="55"/>
    <n v="50"/>
    <m/>
    <s v="Jennifer Contreras"/>
    <s v="Ontario"/>
    <n v="1.1000000000000001"/>
  </r>
  <r>
    <x v="8"/>
    <s v="Network Connection Luncheon"/>
    <d v="2022-03-15T00:00:00"/>
    <m/>
    <n v="40"/>
    <n v="0"/>
    <m/>
    <s v="Priscilla"/>
    <s v="Ontario"/>
    <e v="#DIV/0!"/>
  </r>
  <r>
    <x v="8"/>
    <s v="Jurupa Valley Business Networking Meeting "/>
    <d v="2025-11-13T00:00:00"/>
    <s v="Networking"/>
    <n v="0"/>
    <n v="0"/>
    <m/>
    <s v="Juleen Erives "/>
    <s v="Jurupa Valley"/>
    <e v="#DIV/0!"/>
  </r>
  <r>
    <x v="8"/>
    <s v="Yorba Linda Network Connection Luncheon "/>
    <d v="2023-12-12T00:00:00"/>
    <s v="Networking "/>
    <n v="0"/>
    <n v="0"/>
    <m/>
    <s v="Contreras, Jennifer "/>
    <s v="Ontario"/>
    <e v="#DIV/0!"/>
  </r>
  <r>
    <x v="8"/>
    <s v="Yorba Linda Network Connection Luncheon "/>
    <d v="2023-11-28T00:00:00"/>
    <s v="Networking "/>
    <n v="0"/>
    <n v="0"/>
    <m/>
    <s v="Contreras, Jennifer "/>
    <s v="Ontario"/>
    <e v="#DIV/0!"/>
  </r>
  <r>
    <x v="8"/>
    <s v="Pomona Networking at Noon"/>
    <d v="2023-06-14T00:00:00"/>
    <s v="Networking "/>
    <n v="30"/>
    <n v="7"/>
    <s v="The crows was smaller than last time and majority were the same people as the last event. There were still good connections."/>
    <s v="Paredez, Emily "/>
    <s v="Ontario"/>
    <n v="4.2857142857142856"/>
  </r>
  <r>
    <x v="8"/>
    <s v="Norco Lunch With Friends Networking Group"/>
    <d v="2024-10-03T00:00:00"/>
    <s v="Networking "/>
    <n v="10"/>
    <n v="10"/>
    <m/>
    <m/>
    <s v="Norco"/>
    <n v="1"/>
  </r>
  <r>
    <x v="8"/>
    <s v="Norco Lunch With Friends Networking Group"/>
    <d v="2024-09-26T00:00:00"/>
    <s v="Networking "/>
    <n v="10"/>
    <n v="10"/>
    <s v="Lower turn out than last week. I will be presenting in October to the club. Lots of chamber members and new people each week. "/>
    <s v="Jordie Annen"/>
    <s v="Norco"/>
    <n v="1"/>
  </r>
  <r>
    <x v="8"/>
    <s v="SGVEP Cafecito &amp; Networking"/>
    <d v="2025-10-20T00:00:00"/>
    <s v="Networking"/>
    <n v="12"/>
    <n v="12"/>
    <m/>
    <s v="Connie Royal"/>
    <s v="Covina"/>
    <n v="1"/>
  </r>
  <r>
    <x v="8"/>
    <s v="Claremont Network and Sip"/>
    <d v="2025-01-09T00:00:00"/>
    <s v="Networking "/>
    <n v="15"/>
    <n v="15"/>
    <s v="This is a new event for the chamber and whie it was smaller it led to more meningful conversations becuse there was less of a program and more time to network freely"/>
    <s v="Sadie Gribbon"/>
    <s v="Claremont"/>
    <n v="1"/>
  </r>
  <r>
    <x v="8"/>
    <s v="Chino Valley Real Estate Professionals Meeting"/>
    <d v="2024-09-13T00:00:00"/>
    <s v="Presenting"/>
    <n v="15"/>
    <n v="15"/>
    <s v="Great crowd and great feedback"/>
    <s v="Paredez, Emily  "/>
    <s v="Chino Valley"/>
    <n v="1"/>
  </r>
  <r>
    <x v="8"/>
    <s v="Chino Valley Real Estate Professionals"/>
    <d v="2023-12-01T00:00:00"/>
    <s v="Presenting"/>
    <n v="15"/>
    <n v="15"/>
    <s v="Smaller turnout than they usually have due to the holidays, but very engaged. They asked for me back immediately next year."/>
    <s v="Paredez, Emily "/>
    <s v="Ontario"/>
    <n v="1"/>
  </r>
  <r>
    <x v="8"/>
    <s v="Brea- Networking at Noon "/>
    <d v="2023-10-11T00:00:00"/>
    <s v="Networking "/>
    <n v="15"/>
    <n v="15"/>
    <s v="Small crowd but great networking opprtunity "/>
    <s v="Contreras, Jennifer "/>
    <s v="Ontario"/>
    <n v="1"/>
  </r>
  <r>
    <x v="8"/>
    <s v="Brea Networking at Noon "/>
    <d v="2023-02-14T00:00:00"/>
    <s v="Networking"/>
    <n v="15"/>
    <n v="15"/>
    <s v="Small crowd, it seems to be the same people attend these events. "/>
    <s v="Jenny Contreras "/>
    <m/>
    <n v="1"/>
  </r>
  <r>
    <x v="8"/>
    <s v="Norco- NACC Networkers Luncheon "/>
    <d v="2023-10-04T00:00:00"/>
    <s v="Networking "/>
    <n v="18"/>
    <n v="18"/>
    <s v="Smaller crowd but great opportunity to network with all attendees"/>
    <s v="Contreras, Jennifer "/>
    <s v="Ontario"/>
    <n v="1"/>
  </r>
  <r>
    <x v="8"/>
    <s v="Brea Networking at Noon "/>
    <d v="2023-09-20T00:00:00"/>
    <s v="Networking "/>
    <n v="18"/>
    <n v="18"/>
    <s v="Smaller crowd but great opportunity to network with all attendees"/>
    <s v="Contreras, Jennifer "/>
    <s v="Ontario"/>
    <n v="1"/>
  </r>
  <r>
    <x v="8"/>
    <s v="Norco Lunch With Friends"/>
    <d v="2024-09-19T00:00:00"/>
    <s v="Networking "/>
    <n v="20"/>
    <n v="20"/>
    <s v="This Norco Networking Group does a lot with the chamber. It is a smaller setting and I have been able to make great connections with them. There are always some new faces each week."/>
    <s v="Jordie Annen"/>
    <s v="Norco"/>
    <n v="1"/>
  </r>
  <r>
    <x v="8"/>
    <s v="Norco Lunch With Friends Network Group"/>
    <d v="2024-09-05T00:00:00"/>
    <s v="Networking "/>
    <n v="20"/>
    <n v="20"/>
    <s v="A club that is also associated with the Norco Chamber. Good one to go to since there are different people that go to it that are not a part of the chamber."/>
    <s v="Jordie Annen"/>
    <s v="Norco"/>
    <n v="1"/>
  </r>
  <r>
    <x v="8"/>
    <s v="Norco Network Lunch"/>
    <d v="2024-04-03T00:00:00"/>
    <s v="Networking"/>
    <n v="20"/>
    <n v="20"/>
    <s v="Small group, did a 30 second speech and got to know surrounding guests at the table. Lots of small businesses are a part of this chamber."/>
    <s v="Jordie Salvador"/>
    <m/>
    <n v="1"/>
  </r>
  <r>
    <x v="8"/>
    <s v="Temecula Valley Young Professionals Networking Luncheon"/>
    <d v="2024-02-09T00:00:00"/>
    <s v="Networking"/>
    <n v="20"/>
    <n v="20"/>
    <s v="Smaller turnout but good opportunity to make connections. "/>
    <s v="Jenny Contreras "/>
    <m/>
    <n v="1"/>
  </r>
  <r>
    <x v="8"/>
    <s v="Norco Networking Lunch"/>
    <d v="2024-08-07T00:00:00"/>
    <s v="Networking "/>
    <n v="25"/>
    <n v="25"/>
    <s v="I always meet new people in these meetings. The chamber is growing more and more each month."/>
    <s v="Jordie Annen"/>
    <s v="Norco"/>
    <n v="1"/>
  </r>
  <r>
    <x v="8"/>
    <s v="Riverside Latino Network "/>
    <d v="2024-06-19T00:00:00"/>
    <s v="Networking "/>
    <n v="25"/>
    <n v="25"/>
    <s v="Well attended great place network."/>
    <s v="Jennifer Contreras "/>
    <m/>
    <n v="1"/>
  </r>
  <r>
    <x v="8"/>
    <s v="ABAIE- Networking Mixer "/>
    <d v="2025-08-14T00:00:00"/>
    <s v="Networking "/>
    <n v="17"/>
    <n v="25"/>
    <m/>
    <s v="Jennifer Contreras"/>
    <s v="Ontario"/>
    <n v="0.68"/>
  </r>
  <r>
    <x v="8"/>
    <s v="ABAIE Networking Mixer "/>
    <d v="2025-06-10T00:00:00"/>
    <s v="Networking"/>
    <n v="15"/>
    <n v="25"/>
    <m/>
    <s v="Jennifer Contreras "/>
    <s v="Upland"/>
    <n v="0.6"/>
  </r>
  <r>
    <x v="8"/>
    <s v="Fontana Networking at Noon"/>
    <d v="2024-07-23T00:00:00"/>
    <s v="Networking "/>
    <n v="8"/>
    <n v="25"/>
    <s v="This networking event was a sit down lunch. There was old and new faces, so a great one to attend."/>
    <s v="Jordie Annen"/>
    <s v="Fontana"/>
    <n v="0.32"/>
  </r>
  <r>
    <x v="8"/>
    <s v="Jurupa Valley Business Networking Meeting "/>
    <d v="2025-10-09T00:00:00"/>
    <s v="Networking"/>
    <n v="26"/>
    <n v="26"/>
    <m/>
    <s v="Juleen Erives "/>
    <s v="Jurupa Valley"/>
    <n v="1"/>
  </r>
  <r>
    <x v="8"/>
    <s v=" ABAIE Networking Mixer "/>
    <d v="2025-09-16T00:00:00"/>
    <s v="Networking "/>
    <n v="28"/>
    <n v="28"/>
    <m/>
    <s v="Jennifer Contreras"/>
    <s v="Chino Hills"/>
    <n v="1"/>
  </r>
  <r>
    <x v="8"/>
    <s v="Latino Network Monthly Meeting "/>
    <d v="2025-07-16T00:00:00"/>
    <s v="Networking "/>
    <n v="28"/>
    <n v="28"/>
    <m/>
    <s v="Jennifer Contreras"/>
    <s v="Riverside "/>
    <n v="1"/>
  </r>
  <r>
    <x v="8"/>
    <s v="ABAIE- Networking Mixer"/>
    <d v="2025-02-11T00:00:00"/>
    <s v="Networking "/>
    <n v="14"/>
    <n v="28"/>
    <m/>
    <s v="Jennifer Contreras"/>
    <s v="Rancho cucamonga"/>
    <n v="0.5"/>
  </r>
  <r>
    <x v="8"/>
    <s v="Diamond Bar CEO Lunch Mob"/>
    <d v="2024-10-03T00:00:00"/>
    <s v="Networking"/>
    <n v="6"/>
    <n v="28"/>
    <s v="Love this luncheon - very active group who really wants to get to know more about the airport and finding ways to collaborate"/>
    <s v="Connie Royal"/>
    <s v="Diamond Bar"/>
    <n v="0.21428571428571427"/>
  </r>
  <r>
    <x v="8"/>
    <s v="Fontana Networking Event"/>
    <d v="2023-02-17T00:00:00"/>
    <s v="Networking "/>
    <n v="30"/>
    <n v="30"/>
    <s v="Smaller event but made good connections and got to update several people about ONT"/>
    <s v="Rehmani, Ain "/>
    <s v="Ontario"/>
    <n v="1"/>
  </r>
  <r>
    <x v="8"/>
    <s v="ABAIE Networking Mixer"/>
    <d v="2024-11-12T00:00:00"/>
    <s v="Networking "/>
    <n v="20"/>
    <n v="30"/>
    <s v="Great turnout and most ABAIE events are free!"/>
    <s v="Jennifer Contreras "/>
    <s v="Ontario"/>
    <n v="0.66666666666666663"/>
  </r>
  <r>
    <x v="8"/>
    <s v="Fontana Networking Event"/>
    <d v="2024-06-21T00:00:00"/>
    <s v="Networking "/>
    <n v="10"/>
    <n v="30"/>
    <s v="New Networking events that the chamber has been trying to get going. Good attendence and perfect for networking. "/>
    <m/>
    <m/>
    <n v="0.33333333333333331"/>
  </r>
  <r>
    <x v="8"/>
    <s v="Fontana Networking at Noon"/>
    <d v="2024-09-24T00:00:00"/>
    <s v="Networking "/>
    <n v="8"/>
    <n v="30"/>
    <s v="This lunch has some time to net work in the beginning, but then you sit for the rest of the time. This one had less than the one before, but still a good turn out."/>
    <s v="Jordie Annen"/>
    <s v="Fontana"/>
    <n v="0.26666666666666666"/>
  </r>
  <r>
    <x v="8"/>
    <s v="Fontana Networking Meeting"/>
    <d v="2024-08-16T00:00:00"/>
    <s v="Networking "/>
    <n v="8"/>
    <n v="30"/>
    <s v="The network meetings the Fontana have been hosting are a great way to network. Each time i see familiar faces and meet new people as well."/>
    <s v="Jordie Annen"/>
    <s v="Fontana"/>
    <n v="0.26666666666666666"/>
  </r>
  <r>
    <x v="8"/>
    <s v="Good Morning Anaheim Networking Breakfast"/>
    <d v="2024-08-02T00:00:00"/>
    <s v="Networking "/>
    <n v="32"/>
    <n v="32"/>
    <s v="Great turn out, this Chamber is very active I highly reccommend attending more events at this chamber. They are also a part of ACC-OC and have at least three events each month plus signature events (7 per year)."/>
    <s v="Sadie Gribbon"/>
    <s v="Anaheim"/>
    <n v="1"/>
  </r>
  <r>
    <x v="8"/>
    <s v="ABAIE- Networking Mixer"/>
    <d v="2025-03-12T00:00:00"/>
    <s v="Networking"/>
    <n v="35"/>
    <n v="35"/>
    <m/>
    <s v="Jennifer Contreras"/>
    <s v="San Dimas"/>
    <n v="1"/>
  </r>
  <r>
    <x v="8"/>
    <s v="Fontana Networking Event"/>
    <d v="2023-03-17T00:00:00"/>
    <s v="Networking"/>
    <n v="35"/>
    <n v="35"/>
    <s v="Larger crowd in comparison to last time. It appears that only a few new people attend these events"/>
    <s v="Paredez, Emily"/>
    <s v="Ontario"/>
    <n v="1"/>
  </r>
  <r>
    <x v="8"/>
    <s v="ABAIE Networking Mixer"/>
    <d v="2025-10-14T00:00:00"/>
    <s v="Networking "/>
    <n v="22"/>
    <n v="36"/>
    <m/>
    <s v="Jennifer Contreras"/>
    <s v="ABAIE "/>
    <n v="0.61111111111111116"/>
  </r>
  <r>
    <x v="8"/>
    <s v="Jurupa Valley Business Networking Luncheon"/>
    <d v="2024-11-14T00:00:00"/>
    <s v="Networking"/>
    <n v="40"/>
    <n v="40"/>
    <s v="Growing event but same attendees. Love that all attendees get time to share an announcement "/>
    <s v="Jennifer Contreras "/>
    <s v="Jurupa Valley"/>
    <n v="1"/>
  </r>
  <r>
    <x v="8"/>
    <s v="Pomona Networking at Noon"/>
    <d v="2023-03-07T00:00:00"/>
    <s v="Networking"/>
    <n v="40"/>
    <n v="40"/>
    <s v="Short introduction, several familiar faces, small turnout. The next event they mentioned 250+ people will be there."/>
    <s v="Paredez, Emily "/>
    <s v="Ontario"/>
    <n v="1"/>
  </r>
  <r>
    <x v="8"/>
    <s v="ABAIE- Networking Mixer"/>
    <d v="2025-04-15T00:00:00"/>
    <s v="Networking "/>
    <n v="25"/>
    <n v="40"/>
    <m/>
    <s v="Jennifer Contreras"/>
    <s v="Chino Valley"/>
    <n v="0.625"/>
  </r>
  <r>
    <x v="8"/>
    <s v="ABAIE- Networking Mixer"/>
    <d v="2025-05-13T00:00:00"/>
    <s v="Networking"/>
    <n v="20"/>
    <n v="40"/>
    <m/>
    <s v="Jennifer Contreras"/>
    <s v="Chino Valley"/>
    <n v="0.5"/>
  </r>
  <r>
    <x v="8"/>
    <s v="Fontana Networking Meeting"/>
    <d v="2024-07-19T00:00:00"/>
    <s v="Networking "/>
    <n v="7"/>
    <n v="40"/>
    <s v="This netrwork meeting was a lot bigger than the last. Lots of new faces and I met a few nice people who love the airport!"/>
    <s v="Jordie Annen"/>
    <s v="Fontana"/>
    <n v="0.17499999999999999"/>
  </r>
  <r>
    <x v="8"/>
    <s v="Jurupa Valley Business Networking Lunch"/>
    <d v="2025-09-11T00:00:00"/>
    <s v="Networking"/>
    <n v="41"/>
    <n v="41"/>
    <m/>
    <s v="Juleen Erives "/>
    <s v="Jurupa Valley"/>
    <n v="1"/>
  </r>
  <r>
    <x v="8"/>
    <s v="Yorba Linda- Network Connection Luncheon "/>
    <d v="2023-10-03T00:00:00"/>
    <s v="Networking "/>
    <n v="42"/>
    <n v="42"/>
    <s v="Well attended event with time to network. They allow self introductions and 30 seceonds to speak about business in attendance. "/>
    <s v="Contreras, Jennifer "/>
    <s v="Ontario"/>
    <n v="1"/>
  </r>
  <r>
    <x v="8"/>
    <s v="Jurupa Valley- Networking Luncheon "/>
    <d v="2025-08-14T00:00:00"/>
    <s v="Networking "/>
    <n v="43"/>
    <n v="43"/>
    <m/>
    <s v="Jennifer Contreras and Juleen Erives "/>
    <s v="Jurupa Valley"/>
    <n v="1"/>
  </r>
  <r>
    <x v="8"/>
    <s v="Yorba Linda Networking Luncheon"/>
    <d v="2025-09-23T00:00:00"/>
    <s v="Networking"/>
    <n v="45"/>
    <n v="45"/>
    <m/>
    <s v="Connie Royal"/>
    <s v="Yorba Linda"/>
    <n v="1"/>
  </r>
  <r>
    <x v="8"/>
    <s v="Yorba Linda Networking Luncheon"/>
    <d v="2025-09-16T00:00:00"/>
    <s v="Networking"/>
    <n v="45"/>
    <n v="45"/>
    <m/>
    <s v="Connie Royal"/>
    <s v="Yorba Linda"/>
    <n v="1"/>
  </r>
  <r>
    <x v="8"/>
    <s v="Arcadia Networking at Noon"/>
    <d v="2024-05-30T00:00:00"/>
    <s v="Networking "/>
    <n v="15"/>
    <n v="45"/>
    <s v="Huge turnout, multiple 30 second spots offered for me to speak about MCM and the new summer parking promo. Plenty of time to mingle and a more formal sit down lunch."/>
    <s v="Sadie Gribbon "/>
    <m/>
    <n v="0.33333333333333331"/>
  </r>
  <r>
    <x v="8"/>
    <s v="Rise and Shine Networking Breakfast"/>
    <d v="2024-07-18T00:00:00"/>
    <s v="Networking "/>
    <n v="50"/>
    <n v="50"/>
    <m/>
    <s v="Sadie Gribbon"/>
    <s v="Arcadia"/>
    <n v="1"/>
  </r>
  <r>
    <x v="8"/>
    <s v="Murrieta/Wildomar Networking Breakfast "/>
    <d v="2024-02-15T00:00:00"/>
    <s v="Networking"/>
    <n v="50"/>
    <n v="50"/>
    <s v="Well attended by local leaders from the surrounding areas. "/>
    <s v="Jenny Contreras "/>
    <m/>
    <n v="1"/>
  </r>
  <r>
    <x v="8"/>
    <s v="Murrieta/WIldomar Networking Breakfast "/>
    <d v="2023-11-09T00:00:00"/>
    <s v="Networking "/>
    <n v="50"/>
    <n v="50"/>
    <s v="Well attended event and they allow self introductions. "/>
    <s v="Contreras, Jennifer "/>
    <s v="Ontario"/>
    <n v="1"/>
  </r>
  <r>
    <x v="8"/>
    <s v="TopGolf Networking Mixer"/>
    <d v="2025-01-14T00:00:00"/>
    <s v="Networking "/>
    <n v="25"/>
    <n v="50"/>
    <m/>
    <s v="Jennifer Contreras"/>
    <s v="Ontario"/>
    <n v="0.5"/>
  </r>
  <r>
    <x v="8"/>
    <s v="Networking at Noon"/>
    <d v="2025-08-28T00:00:00"/>
    <s v="Networking "/>
    <n v="60"/>
    <n v="60"/>
    <m/>
    <s v="Sadie Gribbon"/>
    <s v="Arcadia"/>
    <n v="1"/>
  </r>
  <r>
    <x v="8"/>
    <s v="Arcadia Rise and Shine Networking Breakfast"/>
    <d v="2025-02-20T00:00:00"/>
    <s v="Networking "/>
    <n v="60"/>
    <n v="60"/>
    <s v="Always an opporutnity to speak, make sure to bring a raffle item/swag bag next time"/>
    <s v="Sadie Gribbon"/>
    <s v="Arcadia"/>
    <n v="1"/>
  </r>
  <r>
    <x v="8"/>
    <s v="Arcadia Networking at Noon"/>
    <d v="2025-09-25T00:00:00"/>
    <s v="Networking "/>
    <n v="70"/>
    <n v="70"/>
    <m/>
    <s v="Sadie Gribbon"/>
    <s v="Arcadia"/>
    <n v="1"/>
  </r>
  <r>
    <x v="8"/>
    <s v="Arcadia Networking at Noon"/>
    <d v="2025-01-23T00:00:00"/>
    <s v="Networking"/>
    <n v="70"/>
    <n v="70"/>
    <s v="Always a speaking opp at this event"/>
    <s v="Sadie Gribbon"/>
    <s v="Arcadia"/>
    <n v="1"/>
  </r>
  <r>
    <x v="8"/>
    <s v="Arcadia Networking at Noon"/>
    <d v="2024-11-14T00:00:00"/>
    <s v="Networking"/>
    <n v="70"/>
    <n v="70"/>
    <m/>
    <s v="Sadie Gribbon"/>
    <s v="Arcadia"/>
    <n v="1"/>
  </r>
  <r>
    <x v="8"/>
    <s v="Arcadia Networking at Noon"/>
    <d v="2024-09-26T00:00:00"/>
    <s v="Networking "/>
    <n v="70"/>
    <n v="70"/>
    <s v="Always a great turnout, games played so everyone is mingling about, 30 second spot to talk about ONT which is always great and always a part of the program"/>
    <m/>
    <s v="Arcadia"/>
    <n v="1"/>
  </r>
  <r>
    <x v="8"/>
    <s v="Arcadia Networking at Noon"/>
    <d v="2025-04-24T00:00:00"/>
    <s v="Networking"/>
    <n v="75"/>
    <n v="75"/>
    <m/>
    <s v="Sadie Gribbon"/>
    <s v="Arcadia"/>
    <n v="1"/>
  </r>
  <r>
    <x v="8"/>
    <s v="Arcadia Networking at Noon"/>
    <d v="2025-03-27T00:00:00"/>
    <s v="Networking "/>
    <n v="75"/>
    <n v="75"/>
    <m/>
    <s v="Sadie Gribbon"/>
    <s v="Arcadia"/>
    <n v="1"/>
  </r>
  <r>
    <x v="8"/>
    <s v="Murrieta Wildomar Networking Breakfast"/>
    <d v="2023-02-09T00:00:00"/>
    <s v="Networking "/>
    <n v="75"/>
    <n v="75"/>
    <s v="Great Engagement, intro'd self to city council and chamber members. PawSquad got a shoutout. Good connections. "/>
    <s v="Rehmani, Ain "/>
    <s v="Ontario"/>
    <n v="1"/>
  </r>
  <r>
    <x v="8"/>
    <s v="Networking at Noon"/>
    <d v="2025-06-26T00:00:00"/>
    <s v="Networking "/>
    <n v="80"/>
    <n v="80"/>
    <m/>
    <s v="Sadie Gribbon"/>
    <s v="Arcadia"/>
    <n v="1"/>
  </r>
  <r>
    <x v="8"/>
    <s v="Arcadia Rise and Shine Networking Breakfast"/>
    <d v="2025-03-20T00:00:00"/>
    <s v="Networking "/>
    <n v="30"/>
    <n v="80"/>
    <m/>
    <s v="Sadie Gribbon"/>
    <s v="Arcadia"/>
    <n v="0.375"/>
  </r>
  <r>
    <x v="8"/>
    <s v="WEREP Friday Morning Networking Breakfast"/>
    <d v="2023-04-05T00:00:00"/>
    <s v="Networking "/>
    <n v="20"/>
    <n v="85"/>
    <s v="This is a great breakfast to go to with a high turnout of real estate agents who are talking about the region and housing. There are speaking opportunities for $250 -- would want to go a couple more times to ensure the turnout is always above 75 people."/>
    <s v="Sadie Gribbon "/>
    <m/>
    <n v="0.23529411764705882"/>
  </r>
  <r>
    <x v="9"/>
    <s v="Quakes Military Appreciation Night"/>
    <d v="2023-07-03T00:00:00"/>
    <s v="Set up table with promo"/>
    <n v="0"/>
    <n v="0"/>
    <m/>
    <s v="Steph/Emily "/>
    <s v="Ontario"/>
    <e v="#DIV/0!"/>
  </r>
  <r>
    <x v="9"/>
    <s v="Diamond Bar CEO Lunch Mob"/>
    <d v="2025-08-07T00:00:00"/>
    <s v="Networking"/>
    <n v="12"/>
    <n v="12"/>
    <m/>
    <s v="Connie Royal"/>
    <s v="Diamond Bar"/>
    <n v="1"/>
  </r>
  <r>
    <x v="9"/>
    <s v="Diamond Bar CEO Lunch Mob"/>
    <d v="2025-01-09T00:00:00"/>
    <s v="Networking "/>
    <n v="15"/>
    <n v="15"/>
    <m/>
    <s v="Connie Royal"/>
    <s v="Diamond bar"/>
    <n v="1"/>
  </r>
  <r>
    <x v="9"/>
    <s v="Diamond Bar CEO Lunch Mob"/>
    <d v="2025-03-06T00:00:00"/>
    <s v="Networking"/>
    <n v="20"/>
    <n v="20"/>
    <m/>
    <s v="Connie Royal"/>
    <s v="Diamond bar"/>
    <n v="1"/>
  </r>
  <r>
    <x v="9"/>
    <s v="Atif Elkadi Showers"/>
    <d v="2023-02-23T00:00:00"/>
    <s v="Ribbon cutting for employee showers"/>
    <n v="20"/>
    <n v="20"/>
    <s v="Internal event"/>
    <s v="Steph"/>
    <s v="Ontario"/>
    <n v="1"/>
  </r>
  <r>
    <x v="9"/>
    <s v="Leonard Transportation Center Leadership Policy Forum"/>
    <d v="2025-03-14T00:00:00"/>
    <s v="Presenting"/>
    <n v="50"/>
    <n v="50"/>
    <s v="**sponsorship with speaking opportunity for Atif to give opening remarks and speak about ONT"/>
    <s v="Sadie Gribbon/Emily Paredez"/>
    <s v="San Bernardino"/>
    <n v="1"/>
  </r>
  <r>
    <x v="9"/>
    <s v="Covina HS Aviation &amp; Aerospace Program Ribbon Cutting Ceremony"/>
    <d v="2025-05-22T00:00:00"/>
    <s v="Networking"/>
    <n v="15"/>
    <n v="65"/>
    <m/>
    <s v="Connie Royal"/>
    <s v="Covina"/>
    <n v="0.23076923076923078"/>
  </r>
  <r>
    <x v="9"/>
    <s v="Addy Awards Gala "/>
    <d v="2025-03-21T00:00:00"/>
    <s v="Networking "/>
    <n v="2"/>
    <n v="70"/>
    <m/>
    <s v="Emily Paredez"/>
    <s v="Riverside"/>
    <n v="2.8571428571428571E-2"/>
  </r>
  <r>
    <x v="9"/>
    <s v="Fanboni Ride at Ontario Reign"/>
    <d v="2025-01-21T00:00:00"/>
    <s v="Other"/>
    <n v="100"/>
    <n v="100"/>
    <s v="Advertised ONT on the fanboni ride at reign game"/>
    <s v="Emily Paredez, Sadie Gribbon"/>
    <s v="Ontario"/>
    <n v="1"/>
  </r>
  <r>
    <x v="9"/>
    <s v="Visit Anaheim Reconnect Event"/>
    <d v="2025-03-27T00:00:00"/>
    <s v="Networking "/>
    <n v="15"/>
    <n v="100"/>
    <m/>
    <s v="Sadie Gribbon"/>
    <s v="Anaheim"/>
    <n v="0.15"/>
  </r>
  <r>
    <x v="9"/>
    <s v="GOCAL Quarterly Luncheon"/>
    <d v="2025-01-28T00:00:00"/>
    <s v="Networking "/>
    <n v="5"/>
    <n v="100"/>
    <m/>
    <s v="Emily Paredez and jennifer contreras"/>
    <s v="Ontario"/>
    <n v="0.05"/>
  </r>
  <r>
    <x v="9"/>
    <s v="CPP Business Challenge "/>
    <d v="2025-10-22T00:00:00"/>
    <s v="Booth "/>
    <n v="150"/>
    <n v="150"/>
    <m/>
    <m/>
    <s v="Pomona "/>
    <n v="1"/>
  </r>
  <r>
    <x v="9"/>
    <s v="CGU Centennial Booth"/>
    <d v="2025-03-01T00:00:00"/>
    <s v="Booth "/>
    <n v="200"/>
    <n v="200"/>
    <s v="Opened up opportunities to attend other events with International Alumni"/>
    <s v="Sadie Gribbon &amp; Connie Royal"/>
    <s v="Claremont"/>
    <n v="1"/>
  </r>
  <r>
    <x v="9"/>
    <s v="SGV Economic Forecast/sponsorship engagements"/>
    <d v="2025-03-20T00:00:00"/>
    <s v="Booth "/>
    <n v="115"/>
    <n v="200"/>
    <m/>
    <s v="Jennifer Contreras, Connie Royal, Emily Paredez"/>
    <s v="San Gabriel "/>
    <n v="0.57499999999999996"/>
  </r>
  <r>
    <x v="9"/>
    <s v="Tenant Appreciation Event"/>
    <d v="2023-03-06T00:00:00"/>
    <s v="Celebrate ONT tenants with food truck and swag"/>
    <n v="400"/>
    <n v="400"/>
    <s v="Extra food given to CONRAC"/>
    <s v="Ain/Steph/Emily"/>
    <s v="Ontario"/>
    <n v="1"/>
  </r>
  <r>
    <x v="9"/>
    <s v="OPD Open House "/>
    <d v="2025-10-04T00:00:00"/>
    <s v="Booth "/>
    <n v="500"/>
    <n v="500"/>
    <m/>
    <s v="Jenny, Emily, Hatsumi "/>
    <s v="Ontario "/>
    <n v="1"/>
  </r>
  <r>
    <x v="9"/>
    <s v="USC Women's Basketball Game Activation"/>
    <d v="2025-02-19T00:00:00"/>
    <s v="Booth "/>
    <n v="500"/>
    <n v="500"/>
    <m/>
    <s v="CE Team"/>
    <s v="Los Angeles"/>
    <n v="1"/>
  </r>
  <r>
    <x v="9"/>
    <s v="OC County Fair "/>
    <d v="2025-08-16T00:00:00"/>
    <s v="Booth "/>
    <n v="1746"/>
    <n v="30000"/>
    <m/>
    <s v="CE Team "/>
    <s v="Costa Mesa"/>
    <n v="5.8200000000000002E-2"/>
  </r>
  <r>
    <x v="9"/>
    <s v="Routes World Conference"/>
    <d v="2025-09-24T00:00:00"/>
    <s v="Booth "/>
    <n v="1403"/>
    <n v="0"/>
    <m/>
    <s v="Emily Paredez  "/>
    <s v="Hong Kong, China"/>
    <e v="#DIV/0!"/>
  </r>
  <r>
    <x v="9"/>
    <s v="Quakes Military Appreciation Night "/>
    <d v="2025-07-03T00:00:00"/>
    <s v="Other "/>
    <n v="81"/>
    <n v="0"/>
    <m/>
    <s v="Jennifer Contreras and Sadie Gribbon"/>
    <s v="Rancho cucamonga"/>
    <e v="#DIV/0!"/>
  </r>
  <r>
    <x v="9"/>
    <s v="State of the Chino Valley Fire District"/>
    <d v="2025-10-22T00:00:00"/>
    <s v="Networking "/>
    <n v="0"/>
    <n v="0"/>
    <m/>
    <s v="Emily Paredez  "/>
    <s v="Chino"/>
    <e v="#DIV/0!"/>
  </r>
  <r>
    <x v="9"/>
    <s v="Visit Temecula Valley Partner Orientation "/>
    <d v="2025-08-20T00:00:00"/>
    <s v="Networking "/>
    <n v="10"/>
    <n v="10"/>
    <m/>
    <s v="Jennifer Contreras and Sadie Gribbon"/>
    <s v="Temecula"/>
    <n v="1"/>
  </r>
  <r>
    <x v="9"/>
    <s v="Temecula MTG Group"/>
    <d v="2023-09-08T00:00:00"/>
    <s v="Presentation"/>
    <n v="20"/>
    <n v="20"/>
    <s v="Well organized event with key stakeholder in attendance."/>
    <s v="Contreras, Jennifer "/>
    <s v="Ontario"/>
    <n v="1"/>
  </r>
  <r>
    <x v="9"/>
    <s v="Chino Valley Real Estate Professionals"/>
    <d v="1930-04-25T00:00:00"/>
    <s v="Presenting"/>
    <n v="25"/>
    <n v="25"/>
    <m/>
    <s v="Emily paredez"/>
    <s v="Chino Valley"/>
    <n v="1"/>
  </r>
  <r>
    <x v="9"/>
    <s v="*Speaking* West End Real Estate Professionals"/>
    <d v="2025-10-10T00:00:00"/>
    <s v="Speaking "/>
    <n v="40"/>
    <n v="40"/>
    <m/>
    <s v="Sadie Gribbon "/>
    <s v="Rancho Cucamonga "/>
    <n v="1"/>
  </r>
  <r>
    <x v="9"/>
    <s v="Corona Elementary Annual Carnival"/>
    <d v="2025-05-16T00:00:00"/>
    <s v="Booth "/>
    <n v="100"/>
    <n v="100"/>
    <m/>
    <m/>
    <s v="Corona"/>
    <n v="1"/>
  </r>
  <r>
    <x v="9"/>
    <s v="SBCTA Business to Business Expo "/>
    <d v="2025-09-25T00:00:00"/>
    <s v="Booth "/>
    <n v="110"/>
    <n v="110"/>
    <m/>
    <s v="Jennifer Contreras, Juleen Erives, Connie Royal "/>
    <s v="Ontario "/>
    <n v="1"/>
  </r>
  <r>
    <x v="9"/>
    <s v="City of Ontario CLC Con "/>
    <d v="2025-09-10T00:00:00"/>
    <s v="Booth "/>
    <n v="150"/>
    <n v="150"/>
    <m/>
    <s v="Jennifer Contreras and Juleen Erives "/>
    <s v="Ontario "/>
    <n v="1"/>
  </r>
  <r>
    <x v="9"/>
    <s v="City of Ontario's All States Picnic Booth Activation"/>
    <d v="2025-07-04T00:00:00"/>
    <s v="Booth "/>
    <n v="200"/>
    <n v="200"/>
    <m/>
    <s v="Jennifer Contreras and Marketing Team "/>
    <s v="Ontario"/>
    <n v="1"/>
  </r>
  <r>
    <x v="9"/>
    <s v="International Student Resource Fair"/>
    <d v="2025-08-15T00:00:00"/>
    <s v="Booth "/>
    <n v="150"/>
    <n v="200"/>
    <m/>
    <s v="Sadie Gribbon and Juleen Erives"/>
    <s v="Claremont"/>
    <n v="0.75"/>
  </r>
  <r>
    <x v="9"/>
    <s v="Beauty, Bubbles, and Bites Event"/>
    <d v="2025-06-12T00:00:00"/>
    <s v="Booth "/>
    <n v="150"/>
    <n v="200"/>
    <s v="Great event, should definitely make it a priority to do next year!"/>
    <s v="Connie Royal"/>
    <s v="Ontario"/>
    <n v="0.75"/>
  </r>
  <r>
    <x v="9"/>
    <s v="Senator Susan Rubio's Open House &amp; Resource Fair"/>
    <d v="2025-06-21T00:00:00"/>
    <s v="Booth "/>
    <n v="200"/>
    <n v="225"/>
    <m/>
    <s v="Jennifer Contreras and Martha Perciado"/>
    <s v="Ontario"/>
    <n v="0.88888888888888884"/>
  </r>
  <r>
    <x v="9"/>
    <s v="2025 SCAG Regional Conference and General Assembly "/>
    <d v="2025-05-01T00:00:00"/>
    <s v="Booth "/>
    <n v="250"/>
    <n v="250"/>
    <m/>
    <s v="Jennifer Contreras, Emily Paredez"/>
    <s v="Palm Desert"/>
    <n v="1"/>
  </r>
  <r>
    <x v="9"/>
    <s v="Supervisor Hagman Open House"/>
    <d v="2025-05-21T00:00:00"/>
    <s v="Booth "/>
    <n v="375"/>
    <n v="375"/>
    <m/>
    <s v="Sadie Gribbon Aand Emily Paredez"/>
    <s v="Chino Valley"/>
    <n v="1"/>
  </r>
  <r>
    <x v="9"/>
    <s v="Eastvale International Food Festival "/>
    <d v="2025-05-17T00:00:00"/>
    <s v="Booth "/>
    <n v="750"/>
    <n v="750"/>
    <m/>
    <s v="CE Team "/>
    <s v="Eastvale"/>
    <n v="1"/>
  </r>
  <r>
    <x v="9"/>
    <s v="WRCOG General Assembly "/>
    <d v="2025-06-12T00:00:00"/>
    <s v="Booth "/>
    <n v="100"/>
    <n v="900"/>
    <m/>
    <s v="Jennifer Contreras and Sadie Gribbon"/>
    <s v="Temecula"/>
    <n v="0.1111111111111111"/>
  </r>
  <r>
    <x v="9"/>
    <s v="San Bernardino State of the County"/>
    <d v="2025-09-17T00:00:00"/>
    <s v="Booth "/>
    <n v="150"/>
    <n v="1000"/>
    <m/>
    <s v="Sadie Gribbon and Juleen Erives"/>
    <s v="Ontario "/>
    <n v="0.15"/>
  </r>
  <r>
    <x v="9"/>
    <s v="OFD Open House "/>
    <d v="2025-10-11T00:00:00"/>
    <s v="Booth "/>
    <n v="1066"/>
    <n v="3000"/>
    <m/>
    <s v="Sadie Gribbon, Emily Paredez, Juleen Erives"/>
    <s v="Ontario "/>
    <n v="0.35533333333333333"/>
  </r>
  <r>
    <x v="9"/>
    <s v="ONT Baseball Event "/>
    <d v="2025-09-18T00:00:00"/>
    <s v="Booth "/>
    <n v="5000"/>
    <n v="5000"/>
    <s v="Atif spoke at this event"/>
    <s v="CE Team "/>
    <s v="Ontario "/>
    <n v="1"/>
  </r>
  <r>
    <x v="10"/>
    <s v="Vandermolen Elem career day"/>
    <m/>
    <s v="Booth "/>
    <n v="15"/>
    <n v="25"/>
    <m/>
    <m/>
    <s v="Jurupa Valley"/>
    <n v="0.6"/>
  </r>
  <r>
    <x v="10"/>
    <s v="Covina High School Aviation Class"/>
    <d v="1934-12-03T00:00:00"/>
    <s v="Presenting"/>
    <n v="70"/>
    <n v="70"/>
    <s v="I presented to two classes, each with about 35 students. These students were sophomores, juniors, and seniors enrolled in the school's inaugural aviation class. They asked great questions, and we got a pledge from their teacher to have a dozen of them volunteer for the 5K!"/>
    <s v="Connie Royal"/>
    <s v="Covina"/>
    <n v="1"/>
  </r>
  <r>
    <x v="10"/>
    <s v="Norco College Industry Partners and Awards Breakfast"/>
    <d v="2024-03-15T00:00:00"/>
    <s v="Networking "/>
    <n v="12"/>
    <n v="100"/>
    <s v="Well attended but event is a set agenda making it difficult to promote ONT. "/>
    <s v="Jenny Contreras "/>
    <m/>
    <n v="0.12"/>
  </r>
  <r>
    <x v="10"/>
    <s v="Louis VanderMolen Elementary Career Day"/>
    <d v="2024-09-19T00:00:00"/>
    <s v="Booth "/>
    <n v="200"/>
    <n v="200"/>
    <m/>
    <s v="Sadie Gribbon, Jenny Contreras"/>
    <s v="Jurupa Valley"/>
    <n v="1"/>
  </r>
  <r>
    <x v="10"/>
    <s v="Claremont Colleges International Student Fair"/>
    <d v="2024-08-16T00:00:00"/>
    <s v="Booth"/>
    <n v="80"/>
    <n v="200"/>
    <s v="Highly reccommend to do every year, a lot of the studentds we spoke with did not know of ONT and all of them were from around the world. Keep in touch with Taivna Mills for other events with internation students for colleges. Additionbally, a lot of parents were there as well who did not know of ONT and will be flying to visit."/>
    <s v="Sadie Gribbon and Connie Royal"/>
    <s v="Claremont"/>
    <n v="0.4"/>
  </r>
  <r>
    <x v="10"/>
    <s v="*Speaking* Career Day Lone Hill Middle School"/>
    <d v="2025-05-20T00:00:00"/>
    <s v="Speaking"/>
    <n v="250"/>
    <n v="250"/>
    <m/>
    <s v="Sadie Gribbon"/>
    <s v="San Dimas"/>
    <n v="1"/>
  </r>
  <r>
    <x v="11"/>
    <s v="Cal State LA Tour"/>
    <m/>
    <m/>
    <n v="24"/>
    <n v="0"/>
    <m/>
    <m/>
    <s v="Ontario"/>
    <e v="#DIV/0!"/>
  </r>
  <r>
    <x v="11"/>
    <s v="Tour for Mayor of Riverside and staff"/>
    <d v="2023-03-09T00:00:00"/>
    <s v="Informational tour for elected official"/>
    <n v="7"/>
    <n v="7"/>
    <s v="Led by James and Elisa"/>
    <s v="Steph/Emily"/>
    <s v="Ontario"/>
    <n v="1"/>
  </r>
  <r>
    <x v="11"/>
    <s v="Tour of ONT Tower, Terminal 4 Roof, Museum"/>
    <d v="2023-09-06T00:00:00"/>
    <s v="Tour and guests used ONT+"/>
    <n v="8"/>
    <n v="8"/>
    <s v="Tour was rescheduled due to the tower"/>
    <s v="CE Team/ Lead-Em"/>
    <s v="Ontario"/>
    <n v="1"/>
  </r>
  <r>
    <x v="11"/>
    <s v="IE Mayor"/>
    <d v="2023-07-31T00:00:00"/>
    <s v="Tour for IE Mayors Coalition"/>
    <n v="10"/>
    <n v="10"/>
    <s v="Stopped at Station 10; great feedback"/>
    <s v="Steph"/>
    <s v="Ontario"/>
    <n v="1"/>
  </r>
  <r>
    <x v="11"/>
    <s v="AV Geek Tour "/>
    <d v="2024-08-30T00:00:00"/>
    <s v="Bringing AV Enthusiasts into ONT"/>
    <n v="10"/>
    <n v="11"/>
    <s v="Event requires 3 CE specialist- 2 on tour and 1 in office. Advice- Send rejection email out asap to avid comments on FB group and let them know they have not been selected but if someone opts out they will be contacted.  "/>
    <s v="Jennifer and Connie"/>
    <s v="Ontario"/>
    <n v="0.90909090909090906"/>
  </r>
  <r>
    <x v="11"/>
    <s v="Anthesis Tour"/>
    <d v="2021-10-13T00:00:00"/>
    <s v="Provide tour to disabled adults"/>
    <n v="20"/>
    <n v="20"/>
    <s v="Good tour; need to plan further in advance; need to have IDs checked in advance"/>
    <s v="Priscilla, Steph"/>
    <s v="Ontario"/>
    <n v="1"/>
  </r>
  <r>
    <x v="11"/>
    <s v="Tour Chino Valley Leaders "/>
    <d v="2023-05-05T00:00:00"/>
    <s v="Educational airfield tour for business CEOs"/>
    <n v="25"/>
    <n v="24"/>
    <m/>
    <s v="Emily"/>
    <s v="Ontario"/>
    <n v="1.0416666666666667"/>
  </r>
  <r>
    <x v="11"/>
    <s v="Tour for Cal Poly Pomona"/>
    <d v="2023-02-10T00:00:00"/>
    <s v="Educational airfield tour for students "/>
    <n v="25"/>
    <n v="25"/>
    <s v="Dennis as guide"/>
    <s v="Steph/Emily"/>
    <s v="Ontario"/>
    <n v="1"/>
  </r>
  <r>
    <x v="11"/>
    <s v="Chino Valley Leadership Collaborative Airfield Tour"/>
    <d v="2025-04-04T00:00:00"/>
    <s v="To tour our airfield, meet OFD and UPS, and educate about ONT"/>
    <n v="27"/>
    <n v="27"/>
    <m/>
    <s v="Connie Royal"/>
    <s v="Ontario"/>
    <n v="1"/>
  </r>
  <r>
    <x v="11"/>
    <s v="Mt Sac Tour"/>
    <d v="2022-10-19T00:00:00"/>
    <s v="Provide tour for students"/>
    <n v="30"/>
    <n v="30"/>
    <s v="Supported Mike Tract's class"/>
    <s v="Priscilla, Steph"/>
    <s v="Ontario"/>
    <n v="1"/>
  </r>
  <r>
    <x v="11"/>
    <s v="Business Partner Tour"/>
    <d v="2022-04-07T00:00:00"/>
    <s v="Provide tour to business leaders"/>
    <n v="30"/>
    <n v="30"/>
    <s v="Great tour and good engagement "/>
    <s v="Steph, Priscilla"/>
    <s v="Ontario"/>
    <n v="1"/>
  </r>
  <r>
    <x v="11"/>
    <s v="OPARC Tour"/>
    <d v="2022-03-30T00:00:00"/>
    <s v="Provide tour to disabled adults"/>
    <n v="30"/>
    <n v="30"/>
    <s v="Good opportunity to showcase ONT to disabled adults"/>
    <s v="Priscilla, Steph"/>
    <s v="Ontario"/>
    <n v="1"/>
  </r>
  <r>
    <x v="11"/>
    <s v="Tour for Carnelian Elementary "/>
    <d v="2023-05-16T00:00:00"/>
    <s v="Educational airfield tour for students "/>
    <n v="35"/>
    <n v="35"/>
    <s v="School was 1+ hr late"/>
    <s v="Steph/Emily"/>
    <s v="Ontario"/>
    <n v="1"/>
  </r>
  <r>
    <x v="11"/>
    <s v="Tour Distribution Management Assoc of SoCal"/>
    <d v="2022-10-05T00:00:00"/>
    <s v="Provide tour"/>
    <n v="40"/>
    <n v="40"/>
    <s v="Decent engagement"/>
    <s v="Priscilla, Steph"/>
    <s v="Ontario"/>
    <n v="1"/>
  </r>
  <r>
    <x v="11"/>
    <s v="ONT Roundtable"/>
    <d v="2023-06-29T00:00:00"/>
    <s v="Tour for ONT Roundtable members"/>
    <n v="25"/>
    <n v="40"/>
    <m/>
    <s v="Steph/Emily"/>
    <s v="Ontario"/>
    <n v="0.625"/>
  </r>
  <r>
    <x v="11"/>
    <s v="Tour for Congresswoman Torres' Youth Advisory Council"/>
    <d v="2023-03-09T00:00:00"/>
    <s v="Informational tour for elected official"/>
    <n v="45"/>
    <n v="45"/>
    <s v="Stop at Station 10. Late at night "/>
    <s v="Steph/Emily"/>
    <s v="Ontario"/>
    <n v="1"/>
  </r>
  <r>
    <x v="11"/>
    <s v="CPP Business Challenge Airfield Tour "/>
    <d v="2025-10-09T00:00:00"/>
    <s v="Support Revem"/>
    <n v="50"/>
    <n v="50"/>
    <m/>
    <s v="Jennifer Contreras"/>
    <s v="Ontario"/>
    <n v="1"/>
  </r>
  <r>
    <x v="11"/>
    <s v="CPP Business Challenge Airfield Tour "/>
    <d v="2025-10-08T00:00:00"/>
    <s v="Support Revem"/>
    <n v="50"/>
    <n v="50"/>
    <m/>
    <s v="Jennifer Contreras"/>
    <s v="Ontario"/>
    <n v="1"/>
  </r>
  <r>
    <x v="11"/>
    <s v="Tour for Misison Vista"/>
    <d v="2023-03-14T00:00:00"/>
    <s v="Educational airfield tour for students "/>
    <n v="50"/>
    <n v="50"/>
    <m/>
    <s v="Emily/Steph"/>
    <s v="Ontario"/>
    <n v="1"/>
  </r>
  <r>
    <x v="11"/>
    <s v="Tour for River Springs Charter School"/>
    <d v="2023-02-08T00:00:00"/>
    <s v="Educational airfield tour for students "/>
    <n v="50"/>
    <n v="50"/>
    <m/>
    <s v="Steph/Emily"/>
    <s v="Ontario"/>
    <n v="1"/>
  </r>
  <r>
    <x v="11"/>
    <s v="Tour for Rialto Unified"/>
    <d v="2023-01-17T00:00:00"/>
    <s v="Educational airfield tour for students "/>
    <n v="50"/>
    <n v="50"/>
    <m/>
    <s v="Steph/Emily/Ain"/>
    <s v="Ontario"/>
    <n v="1"/>
  </r>
  <r>
    <x v="11"/>
    <s v="Troop 7611 Tour"/>
    <d v="2022-09-24T00:00:00"/>
    <s v="Provide tour to girl scouts"/>
    <n v="50"/>
    <n v="50"/>
    <s v="Great tour; reminder to add bathroom breaks, waters and trash cans for youth groups"/>
    <s v="Steph, Priscilla"/>
    <s v="Ontario"/>
    <n v="1"/>
  </r>
  <r>
    <x v="12"/>
    <m/>
    <m/>
    <m/>
    <m/>
    <m/>
    <m/>
    <m/>
    <m/>
    <m/>
  </r>
  <r>
    <x v="12"/>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458FE9-A0E6-2943-A32D-021FA3EE3D68}" name="PivotTable2"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7" firstHeaderRow="0" firstDataRow="1" firstDataCol="1"/>
  <pivotFields count="10">
    <pivotField axis="axisRow" showAll="0">
      <items count="14">
        <item x="0"/>
        <item x="1"/>
        <item x="2"/>
        <item x="3"/>
        <item x="4"/>
        <item x="5"/>
        <item x="6"/>
        <item x="7"/>
        <item x="8"/>
        <item x="9"/>
        <item x="10"/>
        <item x="11"/>
        <item x="12"/>
        <item t="default"/>
      </items>
    </pivotField>
    <pivotField showAll="0"/>
    <pivotField showAll="0"/>
    <pivotField showAll="0"/>
    <pivotField dataField="1" showAll="0"/>
    <pivotField dataField="1" showAll="0"/>
    <pivotField showAll="0"/>
    <pivotField showAll="0"/>
    <pivotField showAll="0"/>
    <pivotField showAll="0"/>
  </pivotFields>
  <rowFields count="1">
    <field x="0"/>
  </rowFields>
  <rowItems count="14">
    <i>
      <x/>
    </i>
    <i>
      <x v="1"/>
    </i>
    <i>
      <x v="2"/>
    </i>
    <i>
      <x v="3"/>
    </i>
    <i>
      <x v="4"/>
    </i>
    <i>
      <x v="5"/>
    </i>
    <i>
      <x v="6"/>
    </i>
    <i>
      <x v="7"/>
    </i>
    <i>
      <x v="8"/>
    </i>
    <i>
      <x v="9"/>
    </i>
    <i>
      <x v="10"/>
    </i>
    <i>
      <x v="11"/>
    </i>
    <i>
      <x v="12"/>
    </i>
    <i t="grand">
      <x/>
    </i>
  </rowItems>
  <colFields count="1">
    <field x="-2"/>
  </colFields>
  <colItems count="2">
    <i>
      <x/>
    </i>
    <i i="1">
      <x v="1"/>
    </i>
  </colItems>
  <dataFields count="2">
    <dataField name="Sum of Activations" fld="4" baseField="0" baseItem="0"/>
    <dataField name="Sum of Attendanc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0C34DC-F821-FC44-B7CB-7F8FD4E48045}" name="Table1" displayName="Table1" ref="A1:J1185" totalsRowShown="0">
  <autoFilter ref="A1:J1185" xr:uid="{860C34DC-F821-FC44-B7CB-7F8FD4E48045}"/>
  <sortState xmlns:xlrd2="http://schemas.microsoft.com/office/spreadsheetml/2017/richdata2" ref="A2:J1185">
    <sortCondition descending="1" ref="J1:J1185"/>
  </sortState>
  <tableColumns count="10">
    <tableColumn id="1" xr3:uid="{BAFC1791-3A43-C845-9295-78ABDB4DE0AD}" name="Type of Event"/>
    <tableColumn id="2" xr3:uid="{1B430708-40AD-3D4F-965E-8AE39BB974B1}" name="Name of Event"/>
    <tableColumn id="3" xr3:uid="{5473F5BF-99AB-C14C-97A3-DACAA6C3FEC5}" name="Date" dataDxfId="1"/>
    <tableColumn id="4" xr3:uid="{7E18A33E-A6F8-8F4E-9A0F-FF0BC40BB486}" name="Purpose"/>
    <tableColumn id="5" xr3:uid="{DC41ADE7-D7EB-0449-B70E-A13F64022B91}" name="interactions"/>
    <tableColumn id="6" xr3:uid="{96D0AB9D-590E-C04E-9E56-7671C900454A}" name="Attendance" dataDxfId="0" dataCellStyle="Comma"/>
    <tableColumn id="7" xr3:uid="{C5AC604E-8C16-5C42-932A-0634D58F6BF4}" name="Comments"/>
    <tableColumn id="8" xr3:uid="{D2825BA2-2746-634F-8B62-3E4B1B6CEF20}" name="CE Lead/ Attendees"/>
    <tableColumn id="9" xr3:uid="{1F97210E-C854-3640-9B29-ECEFC5D46808}" name="City"/>
    <tableColumn id="10" xr3:uid="{5EFB0A84-31CB-424E-875D-A72A6741C0AF}" name="% of interactions" dataCellStyle="Percent">
      <calculatedColumnFormula>Table1[[#This Row],[interactions]]/Table1[[#This Row],[Attendance]]</calculatedColumnFormula>
    </tableColumn>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7DB57-F870-5E42-9AB6-0B701F843A3D}">
  <dimension ref="A3:D17"/>
  <sheetViews>
    <sheetView workbookViewId="0">
      <selection activeCell="E17" sqref="E17"/>
    </sheetView>
  </sheetViews>
  <sheetFormatPr baseColWidth="10" defaultRowHeight="16" x14ac:dyDescent="0.2"/>
  <cols>
    <col min="1" max="1" width="15" bestFit="1" customWidth="1"/>
    <col min="2" max="2" width="16.6640625" bestFit="1" customWidth="1"/>
    <col min="3" max="3" width="16.83203125" bestFit="1" customWidth="1"/>
    <col min="4" max="4" width="21.83203125" style="21" bestFit="1" customWidth="1"/>
  </cols>
  <sheetData>
    <row r="3" spans="1:4" x14ac:dyDescent="0.2">
      <c r="A3" s="19" t="s">
        <v>1883</v>
      </c>
      <c r="B3" t="s">
        <v>1886</v>
      </c>
      <c r="C3" t="s">
        <v>1887</v>
      </c>
      <c r="D3"/>
    </row>
    <row r="4" spans="1:4" x14ac:dyDescent="0.2">
      <c r="A4" s="20" t="s">
        <v>94</v>
      </c>
      <c r="B4">
        <v>29865</v>
      </c>
      <c r="C4">
        <v>175136</v>
      </c>
      <c r="D4" s="21">
        <f>GETPIVOTDATA("Sum of Activations",$A$3,"Type of Event","Booth")/GETPIVOTDATA("Sum of Attendance",$A$3,"Type of Event","Booth")</f>
        <v>0.17052462086606979</v>
      </c>
    </row>
    <row r="5" spans="1:4" x14ac:dyDescent="0.2">
      <c r="A5" s="20" t="s">
        <v>721</v>
      </c>
      <c r="B5">
        <v>116</v>
      </c>
      <c r="C5">
        <v>1154</v>
      </c>
      <c r="D5" s="21">
        <f>GETPIVOTDATA("Sum of Activations",$A$3,"Type of Event","Business Council")/GETPIVOTDATA("Sum of Attendance",$A$3,"Type of Event","Business Council")</f>
        <v>0.10051993067590988</v>
      </c>
    </row>
    <row r="6" spans="1:4" x14ac:dyDescent="0.2">
      <c r="A6" s="20" t="s">
        <v>11</v>
      </c>
      <c r="B6">
        <v>30245</v>
      </c>
      <c r="C6">
        <v>48949</v>
      </c>
      <c r="D6" s="21">
        <f>GETPIVOTDATA("Sum of Activations",$A$3,"Type of Event","Chamber")/GETPIVOTDATA("Sum of Attendance",$A$3,"Type of Event","Chamber")</f>
        <v>0.61788800588367487</v>
      </c>
    </row>
    <row r="7" spans="1:4" x14ac:dyDescent="0.2">
      <c r="A7" s="20" t="s">
        <v>782</v>
      </c>
      <c r="B7">
        <v>2104</v>
      </c>
      <c r="C7">
        <v>2792</v>
      </c>
      <c r="D7" s="21">
        <f>GETPIVOTDATA("Sum of Activations",$A$3,"Type of Event","Club")/GETPIVOTDATA("Sum of Attendance",$A$3,"Type of Event","Club")</f>
        <v>0.75358166189111753</v>
      </c>
    </row>
    <row r="8" spans="1:4" x14ac:dyDescent="0.2">
      <c r="A8" s="20" t="s">
        <v>15</v>
      </c>
      <c r="B8">
        <v>19458</v>
      </c>
      <c r="C8">
        <v>28895</v>
      </c>
      <c r="D8" s="21">
        <f>GETPIVOTDATA("Sum of Activations",$A$3,"Type of Event","Community")/GETPIVOTDATA("Sum of Attendance",$A$3,"Type of Event","Community")</f>
        <v>0.67340370306281361</v>
      </c>
    </row>
    <row r="9" spans="1:4" x14ac:dyDescent="0.2">
      <c r="A9" s="20" t="s">
        <v>23</v>
      </c>
      <c r="B9">
        <v>1922</v>
      </c>
      <c r="C9">
        <v>12202</v>
      </c>
      <c r="D9" s="21">
        <f>GETPIVOTDATA("Sum of Activations",$A$3,"Type of Event","Conference")/GETPIVOTDATA("Sum of Attendance",$A$3,"Type of Event","Conference")</f>
        <v>0.15751516144894279</v>
      </c>
    </row>
    <row r="10" spans="1:4" x14ac:dyDescent="0.2">
      <c r="A10" s="20" t="s">
        <v>1767</v>
      </c>
      <c r="B10">
        <v>2498</v>
      </c>
      <c r="C10">
        <v>2408</v>
      </c>
      <c r="D10" s="21">
        <f>GETPIVOTDATA("Sum of Activations",$A$3,"Type of Event","Gate Activation")/GETPIVOTDATA("Sum of Attendance",$A$3,"Type of Event","Gate Activation")</f>
        <v>1.037375415282392</v>
      </c>
    </row>
    <row r="11" spans="1:4" x14ac:dyDescent="0.2">
      <c r="A11" s="20" t="s">
        <v>1804</v>
      </c>
      <c r="B11">
        <v>227</v>
      </c>
      <c r="C11">
        <v>202</v>
      </c>
      <c r="D11" s="21">
        <f>GETPIVOTDATA("Sum of Activations",$A$3,"Type of Event","Luncheon")/GETPIVOTDATA("Sum of Attendance",$A$3,"Type of Event","Luncheon")</f>
        <v>1.1237623762376239</v>
      </c>
    </row>
    <row r="12" spans="1:4" x14ac:dyDescent="0.2">
      <c r="A12" s="20" t="s">
        <v>366</v>
      </c>
      <c r="B12">
        <v>1978</v>
      </c>
      <c r="C12">
        <v>2312</v>
      </c>
      <c r="D12" s="21">
        <f>GETPIVOTDATA("Sum of Activations",$A$3,"Type of Event","Networking")/GETPIVOTDATA("Sum of Attendance",$A$3,"Type of Event","Networking")</f>
        <v>0.85553633217993075</v>
      </c>
    </row>
    <row r="13" spans="1:4" x14ac:dyDescent="0.2">
      <c r="A13" s="20" t="s">
        <v>640</v>
      </c>
      <c r="B13">
        <v>14195</v>
      </c>
      <c r="C13">
        <v>45057</v>
      </c>
      <c r="D13" s="21">
        <f>GETPIVOTDATA("Sum of Activations",$A$3,"Type of Event","Other")/GETPIVOTDATA("Sum of Attendance",$A$3,"Type of Event","Other")</f>
        <v>0.31504538695430234</v>
      </c>
    </row>
    <row r="14" spans="1:4" x14ac:dyDescent="0.2">
      <c r="A14" s="20" t="s">
        <v>1381</v>
      </c>
      <c r="B14">
        <v>627</v>
      </c>
      <c r="C14">
        <v>845</v>
      </c>
      <c r="D14" s="21">
        <f>GETPIVOTDATA("Sum of Activations",$A$3,"Type of Event","School")/GETPIVOTDATA("Sum of Attendance",$A$3,"Type of Event","School")</f>
        <v>0.74201183431952666</v>
      </c>
    </row>
    <row r="15" spans="1:4" x14ac:dyDescent="0.2">
      <c r="A15" s="20" t="s">
        <v>1692</v>
      </c>
      <c r="B15">
        <v>691</v>
      </c>
      <c r="C15">
        <v>682</v>
      </c>
      <c r="D15" s="21">
        <f>GETPIVOTDATA("Sum of Activations",$A$3,"Type of Event","Tour")/GETPIVOTDATA("Sum of Attendance",$A$3,"Type of Event","Tour")</f>
        <v>1.0131964809384164</v>
      </c>
    </row>
    <row r="16" spans="1:4" x14ac:dyDescent="0.2">
      <c r="A16" s="20" t="s">
        <v>1884</v>
      </c>
      <c r="D16" s="21">
        <f>GETPIVOTDATA("Sum of Activations",$A$3)/GETPIVOTDATA("Sum of Attendance",$A$3)</f>
        <v>0.32412657422481705</v>
      </c>
    </row>
    <row r="17" spans="1:4" x14ac:dyDescent="0.2">
      <c r="A17" s="20" t="s">
        <v>1885</v>
      </c>
      <c r="B17">
        <v>103926</v>
      </c>
      <c r="C17">
        <v>320634</v>
      </c>
      <c r="D1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1185"/>
  <sheetViews>
    <sheetView tabSelected="1" zoomScale="175" zoomScaleNormal="319" workbookViewId="0">
      <selection activeCell="F1" sqref="F1"/>
    </sheetView>
  </sheetViews>
  <sheetFormatPr baseColWidth="10" defaultRowHeight="16" x14ac:dyDescent="0.2"/>
  <cols>
    <col min="1" max="1" width="49.83203125" bestFit="1" customWidth="1"/>
    <col min="2" max="2" width="38.83203125" customWidth="1"/>
    <col min="3" max="3" width="22.5" style="1" bestFit="1" customWidth="1"/>
    <col min="4" max="4" width="27.83203125" customWidth="1"/>
    <col min="5" max="5" width="12.5" customWidth="1"/>
    <col min="6" max="6" width="12.83203125" style="18" customWidth="1"/>
    <col min="7" max="7" width="12.33203125" customWidth="1"/>
    <col min="8" max="8" width="19.1640625" customWidth="1"/>
    <col min="10" max="10" width="16.6640625" style="21" bestFit="1" customWidth="1"/>
  </cols>
  <sheetData>
    <row r="1" spans="1:10" x14ac:dyDescent="0.2">
      <c r="A1" t="s">
        <v>0</v>
      </c>
      <c r="B1" t="s">
        <v>1</v>
      </c>
      <c r="C1" s="1" t="s">
        <v>2</v>
      </c>
      <c r="D1" t="s">
        <v>3</v>
      </c>
      <c r="E1" t="s">
        <v>1888</v>
      </c>
      <c r="F1" s="18" t="s">
        <v>4</v>
      </c>
      <c r="G1" t="s">
        <v>5</v>
      </c>
      <c r="H1" t="s">
        <v>6</v>
      </c>
      <c r="I1" t="s">
        <v>683</v>
      </c>
      <c r="J1" s="21" t="s">
        <v>1889</v>
      </c>
    </row>
    <row r="2" spans="1:10" x14ac:dyDescent="0.2">
      <c r="A2" t="s">
        <v>94</v>
      </c>
      <c r="B2" t="s">
        <v>326</v>
      </c>
      <c r="C2" s="1">
        <v>45198</v>
      </c>
      <c r="D2" t="s">
        <v>1681</v>
      </c>
      <c r="E2">
        <v>500</v>
      </c>
      <c r="F2" s="18">
        <v>0</v>
      </c>
      <c r="G2" t="s">
        <v>1680</v>
      </c>
      <c r="H2" t="s">
        <v>490</v>
      </c>
      <c r="I2" t="s">
        <v>631</v>
      </c>
      <c r="J2" s="21" t="e">
        <f>Table1[[#This Row],[interactions]]/Table1[[#This Row],[Attendance]]</f>
        <v>#DIV/0!</v>
      </c>
    </row>
    <row r="3" spans="1:10" x14ac:dyDescent="0.2">
      <c r="A3" t="s">
        <v>11</v>
      </c>
      <c r="B3" t="s">
        <v>279</v>
      </c>
      <c r="C3" s="1">
        <v>45955</v>
      </c>
      <c r="D3" t="s">
        <v>115</v>
      </c>
      <c r="E3">
        <v>2206</v>
      </c>
      <c r="F3" s="18">
        <v>0</v>
      </c>
      <c r="H3" t="s">
        <v>685</v>
      </c>
      <c r="I3" t="s">
        <v>679</v>
      </c>
      <c r="J3" s="21" t="e">
        <f>Table1[[#This Row],[interactions]]/Table1[[#This Row],[Attendance]]</f>
        <v>#DIV/0!</v>
      </c>
    </row>
    <row r="4" spans="1:10" x14ac:dyDescent="0.2">
      <c r="A4" t="s">
        <v>11</v>
      </c>
      <c r="B4" t="s">
        <v>398</v>
      </c>
      <c r="C4" s="1">
        <v>45148</v>
      </c>
      <c r="D4" t="s">
        <v>334</v>
      </c>
      <c r="E4">
        <v>100</v>
      </c>
      <c r="F4" s="18">
        <v>0</v>
      </c>
      <c r="G4" t="s">
        <v>397</v>
      </c>
      <c r="H4" t="s">
        <v>215</v>
      </c>
      <c r="I4" t="s">
        <v>631</v>
      </c>
      <c r="J4" s="21" t="e">
        <f>Table1[[#This Row],[interactions]]/Table1[[#This Row],[Attendance]]</f>
        <v>#DIV/0!</v>
      </c>
    </row>
    <row r="5" spans="1:10" x14ac:dyDescent="0.2">
      <c r="A5" t="s">
        <v>11</v>
      </c>
      <c r="B5" t="s">
        <v>281</v>
      </c>
      <c r="C5" s="1">
        <v>45225</v>
      </c>
      <c r="D5" t="s">
        <v>217</v>
      </c>
      <c r="E5">
        <v>50</v>
      </c>
      <c r="F5" s="18">
        <v>0</v>
      </c>
      <c r="G5" t="s">
        <v>280</v>
      </c>
      <c r="H5" t="s">
        <v>215</v>
      </c>
      <c r="I5" t="s">
        <v>631</v>
      </c>
      <c r="J5" s="21" t="e">
        <f>Table1[[#This Row],[interactions]]/Table1[[#This Row],[Attendance]]</f>
        <v>#DIV/0!</v>
      </c>
    </row>
    <row r="6" spans="1:10" x14ac:dyDescent="0.2">
      <c r="A6" t="s">
        <v>11</v>
      </c>
      <c r="B6" t="s">
        <v>129</v>
      </c>
      <c r="C6" s="1">
        <v>44784</v>
      </c>
      <c r="E6">
        <v>45</v>
      </c>
      <c r="F6" s="18">
        <v>0</v>
      </c>
      <c r="H6" t="s">
        <v>86</v>
      </c>
      <c r="I6" t="s">
        <v>631</v>
      </c>
      <c r="J6" s="21" t="e">
        <f>Table1[[#This Row],[interactions]]/Table1[[#This Row],[Attendance]]</f>
        <v>#DIV/0!</v>
      </c>
    </row>
    <row r="7" spans="1:10" x14ac:dyDescent="0.2">
      <c r="A7" t="s">
        <v>11</v>
      </c>
      <c r="B7" t="s">
        <v>205</v>
      </c>
      <c r="C7" s="1">
        <v>44601</v>
      </c>
      <c r="D7" t="s">
        <v>48</v>
      </c>
      <c r="E7">
        <v>45</v>
      </c>
      <c r="F7" s="18">
        <v>0</v>
      </c>
      <c r="H7" t="s">
        <v>86</v>
      </c>
      <c r="I7" t="s">
        <v>631</v>
      </c>
      <c r="J7" s="21" t="e">
        <f>Table1[[#This Row],[interactions]]/Table1[[#This Row],[Attendance]]</f>
        <v>#DIV/0!</v>
      </c>
    </row>
    <row r="8" spans="1:10" x14ac:dyDescent="0.2">
      <c r="A8" t="s">
        <v>11</v>
      </c>
      <c r="B8" t="s">
        <v>130</v>
      </c>
      <c r="C8" s="1">
        <v>44782</v>
      </c>
      <c r="E8">
        <v>40</v>
      </c>
      <c r="F8" s="18">
        <v>0</v>
      </c>
      <c r="H8" t="s">
        <v>86</v>
      </c>
      <c r="I8" t="s">
        <v>631</v>
      </c>
      <c r="J8" s="21" t="e">
        <f>Table1[[#This Row],[interactions]]/Table1[[#This Row],[Attendance]]</f>
        <v>#DIV/0!</v>
      </c>
    </row>
    <row r="9" spans="1:10" x14ac:dyDescent="0.2">
      <c r="A9" t="s">
        <v>11</v>
      </c>
      <c r="B9" t="s">
        <v>136</v>
      </c>
      <c r="C9" s="1">
        <v>44749</v>
      </c>
      <c r="D9" t="s">
        <v>135</v>
      </c>
      <c r="E9">
        <v>35</v>
      </c>
      <c r="F9" s="18">
        <v>0</v>
      </c>
      <c r="H9" t="s">
        <v>86</v>
      </c>
      <c r="I9" t="s">
        <v>631</v>
      </c>
      <c r="J9" s="21" t="e">
        <f>Table1[[#This Row],[interactions]]/Table1[[#This Row],[Attendance]]</f>
        <v>#DIV/0!</v>
      </c>
    </row>
    <row r="10" spans="1:10" x14ac:dyDescent="0.2">
      <c r="A10" t="s">
        <v>11</v>
      </c>
      <c r="B10" t="s">
        <v>202</v>
      </c>
      <c r="C10" s="1">
        <v>44607</v>
      </c>
      <c r="E10">
        <v>35</v>
      </c>
      <c r="F10" s="18">
        <v>0</v>
      </c>
      <c r="H10" t="s">
        <v>86</v>
      </c>
      <c r="I10" t="s">
        <v>631</v>
      </c>
      <c r="J10" s="21" t="e">
        <f>Table1[[#This Row],[interactions]]/Table1[[#This Row],[Attendance]]</f>
        <v>#DIV/0!</v>
      </c>
    </row>
    <row r="11" spans="1:10" x14ac:dyDescent="0.2">
      <c r="A11" t="s">
        <v>11</v>
      </c>
      <c r="B11" t="s">
        <v>203</v>
      </c>
      <c r="C11" s="1">
        <v>44602</v>
      </c>
      <c r="E11">
        <v>35</v>
      </c>
      <c r="F11" s="18">
        <v>0</v>
      </c>
      <c r="H11" t="s">
        <v>86</v>
      </c>
      <c r="I11" t="s">
        <v>631</v>
      </c>
      <c r="J11" s="21" t="e">
        <f>Table1[[#This Row],[interactions]]/Table1[[#This Row],[Attendance]]</f>
        <v>#DIV/0!</v>
      </c>
    </row>
    <row r="12" spans="1:10" x14ac:dyDescent="0.2">
      <c r="A12" t="s">
        <v>11</v>
      </c>
      <c r="B12" t="s">
        <v>131</v>
      </c>
      <c r="C12" s="1">
        <v>44777</v>
      </c>
      <c r="E12">
        <v>30</v>
      </c>
      <c r="F12" s="18">
        <v>0</v>
      </c>
      <c r="H12" t="s">
        <v>86</v>
      </c>
      <c r="I12" t="s">
        <v>631</v>
      </c>
      <c r="J12" s="21" t="e">
        <f>Table1[[#This Row],[interactions]]/Table1[[#This Row],[Attendance]]</f>
        <v>#DIV/0!</v>
      </c>
    </row>
    <row r="13" spans="1:10" x14ac:dyDescent="0.2">
      <c r="A13" t="s">
        <v>11</v>
      </c>
      <c r="B13" t="s">
        <v>137</v>
      </c>
      <c r="C13" s="1">
        <v>44743</v>
      </c>
      <c r="D13" t="s">
        <v>48</v>
      </c>
      <c r="E13">
        <v>30</v>
      </c>
      <c r="F13" s="18">
        <v>0</v>
      </c>
      <c r="H13" t="s">
        <v>86</v>
      </c>
      <c r="I13" t="s">
        <v>631</v>
      </c>
      <c r="J13" s="21" t="e">
        <f>Table1[[#This Row],[interactions]]/Table1[[#This Row],[Attendance]]</f>
        <v>#DIV/0!</v>
      </c>
    </row>
    <row r="14" spans="1:10" x14ac:dyDescent="0.2">
      <c r="A14" t="s">
        <v>11</v>
      </c>
      <c r="B14" t="s">
        <v>142</v>
      </c>
      <c r="C14" s="1">
        <v>44734</v>
      </c>
      <c r="D14" t="s">
        <v>48</v>
      </c>
      <c r="E14">
        <v>30</v>
      </c>
      <c r="F14" s="18">
        <v>0</v>
      </c>
      <c r="H14" t="s">
        <v>86</v>
      </c>
      <c r="I14" t="s">
        <v>631</v>
      </c>
      <c r="J14" s="21" t="e">
        <f>Table1[[#This Row],[interactions]]/Table1[[#This Row],[Attendance]]</f>
        <v>#DIV/0!</v>
      </c>
    </row>
    <row r="15" spans="1:10" x14ac:dyDescent="0.2">
      <c r="A15" t="s">
        <v>11</v>
      </c>
      <c r="B15" t="s">
        <v>132</v>
      </c>
      <c r="C15" s="1">
        <v>44771</v>
      </c>
      <c r="E15">
        <v>25</v>
      </c>
      <c r="F15" s="18">
        <v>0</v>
      </c>
      <c r="H15" t="s">
        <v>86</v>
      </c>
      <c r="I15" t="s">
        <v>631</v>
      </c>
      <c r="J15" s="21" t="e">
        <f>Table1[[#This Row],[interactions]]/Table1[[#This Row],[Attendance]]</f>
        <v>#DIV/0!</v>
      </c>
    </row>
    <row r="16" spans="1:10" x14ac:dyDescent="0.2">
      <c r="A16" t="s">
        <v>11</v>
      </c>
      <c r="B16" t="s">
        <v>171</v>
      </c>
      <c r="C16" s="1">
        <v>44677</v>
      </c>
      <c r="E16">
        <v>25</v>
      </c>
      <c r="F16" s="18">
        <v>0</v>
      </c>
      <c r="H16" t="s">
        <v>86</v>
      </c>
      <c r="I16" t="s">
        <v>631</v>
      </c>
      <c r="J16" s="21" t="e">
        <f>Table1[[#This Row],[interactions]]/Table1[[#This Row],[Attendance]]</f>
        <v>#DIV/0!</v>
      </c>
    </row>
    <row r="17" spans="1:10" x14ac:dyDescent="0.2">
      <c r="A17" t="s">
        <v>11</v>
      </c>
      <c r="B17" t="s">
        <v>713</v>
      </c>
      <c r="C17" s="1">
        <v>45596</v>
      </c>
      <c r="D17" t="s">
        <v>366</v>
      </c>
      <c r="E17">
        <v>20</v>
      </c>
      <c r="F17" s="18">
        <v>0</v>
      </c>
      <c r="I17" t="s">
        <v>607</v>
      </c>
      <c r="J17" s="21" t="e">
        <f>Table1[[#This Row],[interactions]]/Table1[[#This Row],[Attendance]]</f>
        <v>#DIV/0!</v>
      </c>
    </row>
    <row r="18" spans="1:10" x14ac:dyDescent="0.2">
      <c r="A18" t="s">
        <v>11</v>
      </c>
      <c r="B18" t="s">
        <v>736</v>
      </c>
      <c r="C18" s="1">
        <v>45587</v>
      </c>
      <c r="D18" t="s">
        <v>217</v>
      </c>
      <c r="E18">
        <v>15</v>
      </c>
      <c r="F18" s="18">
        <v>0</v>
      </c>
      <c r="H18" t="s">
        <v>612</v>
      </c>
      <c r="I18" t="s">
        <v>636</v>
      </c>
      <c r="J18" s="21" t="e">
        <f>Table1[[#This Row],[interactions]]/Table1[[#This Row],[Attendance]]</f>
        <v>#DIV/0!</v>
      </c>
    </row>
    <row r="19" spans="1:10" x14ac:dyDescent="0.2">
      <c r="A19" t="s">
        <v>11</v>
      </c>
      <c r="B19" t="s">
        <v>218</v>
      </c>
      <c r="C19" s="1">
        <v>45114</v>
      </c>
      <c r="D19" t="s">
        <v>217</v>
      </c>
      <c r="E19">
        <v>0</v>
      </c>
      <c r="F19" s="18">
        <v>0</v>
      </c>
      <c r="G19" t="s">
        <v>428</v>
      </c>
      <c r="H19" t="s">
        <v>215</v>
      </c>
      <c r="I19" t="s">
        <v>631</v>
      </c>
      <c r="J19" s="21" t="e">
        <f>Table1[[#This Row],[interactions]]/Table1[[#This Row],[Attendance]]</f>
        <v>#DIV/0!</v>
      </c>
    </row>
    <row r="20" spans="1:10" x14ac:dyDescent="0.2">
      <c r="A20" t="s">
        <v>11</v>
      </c>
      <c r="B20" t="s">
        <v>503</v>
      </c>
      <c r="C20" s="1">
        <v>45016</v>
      </c>
      <c r="D20" t="s">
        <v>366</v>
      </c>
      <c r="E20">
        <v>0</v>
      </c>
      <c r="F20" s="18">
        <v>0</v>
      </c>
      <c r="G20" t="s">
        <v>502</v>
      </c>
      <c r="H20" t="s">
        <v>215</v>
      </c>
      <c r="I20" t="s">
        <v>631</v>
      </c>
      <c r="J20" s="21" t="e">
        <f>Table1[[#This Row],[interactions]]/Table1[[#This Row],[Attendance]]</f>
        <v>#DIV/0!</v>
      </c>
    </row>
    <row r="21" spans="1:10" x14ac:dyDescent="0.2">
      <c r="A21" t="s">
        <v>11</v>
      </c>
      <c r="B21" t="s">
        <v>932</v>
      </c>
      <c r="C21" s="1">
        <v>45524</v>
      </c>
      <c r="D21" t="s">
        <v>217</v>
      </c>
      <c r="E21">
        <v>0</v>
      </c>
      <c r="F21" s="18">
        <v>0</v>
      </c>
      <c r="G21" t="s">
        <v>931</v>
      </c>
      <c r="H21" t="s">
        <v>797</v>
      </c>
      <c r="I21" t="s">
        <v>933</v>
      </c>
      <c r="J21" s="21" t="e">
        <f>Table1[[#This Row],[interactions]]/Table1[[#This Row],[Attendance]]</f>
        <v>#DIV/0!</v>
      </c>
    </row>
    <row r="22" spans="1:10" x14ac:dyDescent="0.2">
      <c r="A22" t="s">
        <v>11</v>
      </c>
      <c r="B22" t="s">
        <v>389</v>
      </c>
      <c r="C22" s="1">
        <v>45159</v>
      </c>
      <c r="D22" t="s">
        <v>217</v>
      </c>
      <c r="E22">
        <v>0</v>
      </c>
      <c r="F22" s="18">
        <v>0</v>
      </c>
      <c r="G22" t="s">
        <v>388</v>
      </c>
      <c r="H22" t="s">
        <v>215</v>
      </c>
      <c r="I22" t="s">
        <v>631</v>
      </c>
      <c r="J22" s="21" t="e">
        <f>Table1[[#This Row],[interactions]]/Table1[[#This Row],[Attendance]]</f>
        <v>#DIV/0!</v>
      </c>
    </row>
    <row r="23" spans="1:10" x14ac:dyDescent="0.2">
      <c r="A23" t="s">
        <v>11</v>
      </c>
      <c r="B23" t="s">
        <v>1384</v>
      </c>
      <c r="C23" s="1">
        <v>45982</v>
      </c>
      <c r="D23" t="s">
        <v>366</v>
      </c>
      <c r="E23">
        <v>0</v>
      </c>
      <c r="F23" s="18">
        <v>0</v>
      </c>
      <c r="I23" t="s">
        <v>1385</v>
      </c>
      <c r="J23" s="21" t="e">
        <f>Table1[[#This Row],[interactions]]/Table1[[#This Row],[Attendance]]</f>
        <v>#DIV/0!</v>
      </c>
    </row>
    <row r="24" spans="1:10" x14ac:dyDescent="0.2">
      <c r="A24" t="s">
        <v>11</v>
      </c>
      <c r="B24" t="s">
        <v>1389</v>
      </c>
      <c r="C24" s="1">
        <v>45981</v>
      </c>
      <c r="D24" t="s">
        <v>217</v>
      </c>
      <c r="E24">
        <v>0</v>
      </c>
      <c r="F24" s="18">
        <v>0</v>
      </c>
      <c r="I24" t="s">
        <v>645</v>
      </c>
      <c r="J24" s="21" t="e">
        <f>Table1[[#This Row],[interactions]]/Table1[[#This Row],[Attendance]]</f>
        <v>#DIV/0!</v>
      </c>
    </row>
    <row r="25" spans="1:10" x14ac:dyDescent="0.2">
      <c r="A25" t="s">
        <v>11</v>
      </c>
      <c r="B25" t="s">
        <v>1390</v>
      </c>
      <c r="C25" s="1">
        <v>45980</v>
      </c>
      <c r="D25" t="s">
        <v>366</v>
      </c>
      <c r="E25">
        <v>0</v>
      </c>
      <c r="F25" s="18">
        <v>0</v>
      </c>
      <c r="I25" t="s">
        <v>1173</v>
      </c>
      <c r="J25" s="21" t="e">
        <f>Table1[[#This Row],[interactions]]/Table1[[#This Row],[Attendance]]</f>
        <v>#DIV/0!</v>
      </c>
    </row>
    <row r="26" spans="1:10" x14ac:dyDescent="0.2">
      <c r="A26" t="s">
        <v>11</v>
      </c>
      <c r="B26" t="s">
        <v>1391</v>
      </c>
      <c r="C26" s="1">
        <v>45979</v>
      </c>
      <c r="D26" t="s">
        <v>366</v>
      </c>
      <c r="E26">
        <v>0</v>
      </c>
      <c r="F26" s="18">
        <v>0</v>
      </c>
      <c r="I26" t="s">
        <v>627</v>
      </c>
      <c r="J26" s="21" t="e">
        <f>Table1[[#This Row],[interactions]]/Table1[[#This Row],[Attendance]]</f>
        <v>#DIV/0!</v>
      </c>
    </row>
    <row r="27" spans="1:10" x14ac:dyDescent="0.2">
      <c r="A27" t="s">
        <v>11</v>
      </c>
      <c r="B27" t="s">
        <v>1393</v>
      </c>
      <c r="C27" s="1">
        <v>45975</v>
      </c>
      <c r="D27" t="s">
        <v>366</v>
      </c>
      <c r="E27">
        <v>0</v>
      </c>
      <c r="F27" s="18">
        <v>0</v>
      </c>
      <c r="H27" t="s">
        <v>1392</v>
      </c>
      <c r="I27" t="s">
        <v>735</v>
      </c>
      <c r="J27" s="21" t="e">
        <f>Table1[[#This Row],[interactions]]/Table1[[#This Row],[Attendance]]</f>
        <v>#DIV/0!</v>
      </c>
    </row>
    <row r="28" spans="1:10" x14ac:dyDescent="0.2">
      <c r="A28" t="s">
        <v>11</v>
      </c>
      <c r="B28" t="s">
        <v>1396</v>
      </c>
      <c r="C28" s="1">
        <v>45974</v>
      </c>
      <c r="D28" t="s">
        <v>366</v>
      </c>
      <c r="E28">
        <v>0</v>
      </c>
      <c r="F28" s="18">
        <v>0</v>
      </c>
      <c r="H28" t="s">
        <v>1395</v>
      </c>
      <c r="I28" t="s">
        <v>719</v>
      </c>
      <c r="J28" s="21" t="e">
        <f>Table1[[#This Row],[interactions]]/Table1[[#This Row],[Attendance]]</f>
        <v>#DIV/0!</v>
      </c>
    </row>
    <row r="29" spans="1:10" x14ac:dyDescent="0.2">
      <c r="A29" t="s">
        <v>11</v>
      </c>
      <c r="B29" t="s">
        <v>873</v>
      </c>
      <c r="C29" s="1">
        <v>45546</v>
      </c>
      <c r="D29" t="s">
        <v>217</v>
      </c>
      <c r="E29">
        <v>0</v>
      </c>
      <c r="F29" s="18">
        <v>0</v>
      </c>
      <c r="G29" t="s">
        <v>872</v>
      </c>
      <c r="H29" t="s">
        <v>608</v>
      </c>
      <c r="J29" s="21" t="e">
        <f>Table1[[#This Row],[interactions]]/Table1[[#This Row],[Attendance]]</f>
        <v>#DIV/0!</v>
      </c>
    </row>
    <row r="30" spans="1:10" x14ac:dyDescent="0.2">
      <c r="A30" t="s">
        <v>11</v>
      </c>
      <c r="B30" t="s">
        <v>1098</v>
      </c>
      <c r="C30" s="1">
        <v>45456</v>
      </c>
      <c r="D30" t="s">
        <v>217</v>
      </c>
      <c r="E30">
        <v>0</v>
      </c>
      <c r="F30" s="18">
        <v>0</v>
      </c>
      <c r="G30" t="s">
        <v>1097</v>
      </c>
      <c r="H30" t="s">
        <v>608</v>
      </c>
      <c r="J30" s="21" t="e">
        <f>Table1[[#This Row],[interactions]]/Table1[[#This Row],[Attendance]]</f>
        <v>#DIV/0!</v>
      </c>
    </row>
    <row r="31" spans="1:10" x14ac:dyDescent="0.2">
      <c r="A31" t="s">
        <v>11</v>
      </c>
      <c r="B31" t="s">
        <v>249</v>
      </c>
      <c r="C31" s="1">
        <v>45387</v>
      </c>
      <c r="D31" t="s">
        <v>217</v>
      </c>
      <c r="E31">
        <v>0</v>
      </c>
      <c r="F31" s="18">
        <v>0</v>
      </c>
      <c r="H31" t="s">
        <v>215</v>
      </c>
      <c r="J31" s="21" t="e">
        <f>Table1[[#This Row],[interactions]]/Table1[[#This Row],[Attendance]]</f>
        <v>#DIV/0!</v>
      </c>
    </row>
    <row r="32" spans="1:10" x14ac:dyDescent="0.2">
      <c r="A32" t="s">
        <v>11</v>
      </c>
      <c r="B32" t="s">
        <v>1267</v>
      </c>
      <c r="C32" s="1">
        <v>45385</v>
      </c>
      <c r="D32" t="s">
        <v>366</v>
      </c>
      <c r="E32">
        <v>0</v>
      </c>
      <c r="F32" s="18">
        <v>0</v>
      </c>
      <c r="H32" t="s">
        <v>1139</v>
      </c>
      <c r="J32" s="21" t="e">
        <f>Table1[[#This Row],[interactions]]/Table1[[#This Row],[Attendance]]</f>
        <v>#DIV/0!</v>
      </c>
    </row>
    <row r="33" spans="1:10" x14ac:dyDescent="0.2">
      <c r="A33" t="s">
        <v>11</v>
      </c>
      <c r="B33" t="s">
        <v>249</v>
      </c>
      <c r="C33" s="1">
        <v>45352</v>
      </c>
      <c r="D33" t="s">
        <v>217</v>
      </c>
      <c r="E33">
        <v>0</v>
      </c>
      <c r="F33" s="18">
        <v>0</v>
      </c>
      <c r="H33" t="s">
        <v>215</v>
      </c>
      <c r="J33" s="21" t="e">
        <f>Table1[[#This Row],[interactions]]/Table1[[#This Row],[Attendance]]</f>
        <v>#DIV/0!</v>
      </c>
    </row>
    <row r="34" spans="1:10" x14ac:dyDescent="0.2">
      <c r="A34" t="s">
        <v>11</v>
      </c>
      <c r="B34" t="s">
        <v>249</v>
      </c>
      <c r="C34" s="1">
        <v>45337</v>
      </c>
      <c r="D34" t="s">
        <v>822</v>
      </c>
      <c r="E34">
        <v>0</v>
      </c>
      <c r="F34" s="18">
        <v>0</v>
      </c>
      <c r="H34" t="s">
        <v>490</v>
      </c>
      <c r="J34" s="21" t="e">
        <f>Table1[[#This Row],[interactions]]/Table1[[#This Row],[Attendance]]</f>
        <v>#DIV/0!</v>
      </c>
    </row>
    <row r="35" spans="1:10" x14ac:dyDescent="0.2">
      <c r="A35" t="s">
        <v>11</v>
      </c>
      <c r="B35" t="s">
        <v>230</v>
      </c>
      <c r="C35" s="1">
        <v>45274</v>
      </c>
      <c r="D35" t="s">
        <v>217</v>
      </c>
      <c r="E35">
        <v>0</v>
      </c>
      <c r="F35" s="18">
        <v>0</v>
      </c>
      <c r="H35" t="s">
        <v>229</v>
      </c>
      <c r="I35" t="s">
        <v>631</v>
      </c>
      <c r="J35" s="21" t="e">
        <f>Table1[[#This Row],[interactions]]/Table1[[#This Row],[Attendance]]</f>
        <v>#DIV/0!</v>
      </c>
    </row>
    <row r="36" spans="1:10" x14ac:dyDescent="0.2">
      <c r="A36" t="s">
        <v>11</v>
      </c>
      <c r="B36" t="s">
        <v>223</v>
      </c>
      <c r="C36" s="1">
        <v>45274</v>
      </c>
      <c r="D36" t="s">
        <v>217</v>
      </c>
      <c r="E36">
        <v>0</v>
      </c>
      <c r="F36" s="18">
        <v>0</v>
      </c>
      <c r="H36" t="s">
        <v>22</v>
      </c>
      <c r="I36" t="s">
        <v>631</v>
      </c>
      <c r="J36" s="21" t="e">
        <f>Table1[[#This Row],[interactions]]/Table1[[#This Row],[Attendance]]</f>
        <v>#DIV/0!</v>
      </c>
    </row>
    <row r="37" spans="1:10" x14ac:dyDescent="0.2">
      <c r="A37" t="s">
        <v>11</v>
      </c>
      <c r="B37" t="s">
        <v>234</v>
      </c>
      <c r="C37" s="1">
        <v>45272</v>
      </c>
      <c r="D37" t="s">
        <v>217</v>
      </c>
      <c r="E37">
        <v>0</v>
      </c>
      <c r="F37" s="18">
        <v>0</v>
      </c>
      <c r="H37" t="s">
        <v>229</v>
      </c>
      <c r="I37" t="s">
        <v>631</v>
      </c>
      <c r="J37" s="21" t="e">
        <f>Table1[[#This Row],[interactions]]/Table1[[#This Row],[Attendance]]</f>
        <v>#DIV/0!</v>
      </c>
    </row>
    <row r="38" spans="1:10" x14ac:dyDescent="0.2">
      <c r="A38" t="s">
        <v>11</v>
      </c>
      <c r="B38" t="s">
        <v>238</v>
      </c>
      <c r="C38" s="1">
        <v>45267</v>
      </c>
      <c r="D38" t="s">
        <v>237</v>
      </c>
      <c r="E38">
        <v>0</v>
      </c>
      <c r="F38" s="18">
        <v>0</v>
      </c>
      <c r="H38" t="s">
        <v>229</v>
      </c>
      <c r="I38" t="s">
        <v>631</v>
      </c>
      <c r="J38" s="21" t="e">
        <f>Table1[[#This Row],[interactions]]/Table1[[#This Row],[Attendance]]</f>
        <v>#DIV/0!</v>
      </c>
    </row>
    <row r="39" spans="1:10" x14ac:dyDescent="0.2">
      <c r="A39" t="s">
        <v>11</v>
      </c>
      <c r="B39" t="s">
        <v>243</v>
      </c>
      <c r="C39" s="1">
        <v>45266</v>
      </c>
      <c r="D39" t="s">
        <v>217</v>
      </c>
      <c r="E39">
        <v>0</v>
      </c>
      <c r="F39" s="18">
        <v>0</v>
      </c>
      <c r="H39" t="s">
        <v>229</v>
      </c>
      <c r="I39" t="s">
        <v>631</v>
      </c>
      <c r="J39" s="21" t="e">
        <f>Table1[[#This Row],[interactions]]/Table1[[#This Row],[Attendance]]</f>
        <v>#DIV/0!</v>
      </c>
    </row>
    <row r="40" spans="1:10" x14ac:dyDescent="0.2">
      <c r="A40" t="s">
        <v>11</v>
      </c>
      <c r="B40" t="s">
        <v>246</v>
      </c>
      <c r="C40" s="1">
        <v>45265</v>
      </c>
      <c r="D40" t="s">
        <v>217</v>
      </c>
      <c r="E40">
        <v>0</v>
      </c>
      <c r="F40" s="18">
        <v>0</v>
      </c>
      <c r="H40" t="s">
        <v>229</v>
      </c>
      <c r="I40" t="s">
        <v>631</v>
      </c>
      <c r="J40" s="21" t="e">
        <f>Table1[[#This Row],[interactions]]/Table1[[#This Row],[Attendance]]</f>
        <v>#DIV/0!</v>
      </c>
    </row>
    <row r="41" spans="1:10" x14ac:dyDescent="0.2">
      <c r="A41" t="s">
        <v>11</v>
      </c>
      <c r="B41" t="s">
        <v>247</v>
      </c>
      <c r="C41" s="1">
        <v>45261</v>
      </c>
      <c r="D41" t="s">
        <v>217</v>
      </c>
      <c r="E41">
        <v>0</v>
      </c>
      <c r="F41" s="18">
        <v>0</v>
      </c>
      <c r="H41" t="s">
        <v>229</v>
      </c>
      <c r="I41" t="s">
        <v>631</v>
      </c>
      <c r="J41" s="21" t="e">
        <f>Table1[[#This Row],[interactions]]/Table1[[#This Row],[Attendance]]</f>
        <v>#DIV/0!</v>
      </c>
    </row>
    <row r="42" spans="1:10" x14ac:dyDescent="0.2">
      <c r="A42" t="s">
        <v>11</v>
      </c>
      <c r="B42" t="s">
        <v>404</v>
      </c>
      <c r="C42" s="1">
        <v>45119</v>
      </c>
      <c r="D42" t="s">
        <v>217</v>
      </c>
      <c r="E42">
        <v>0</v>
      </c>
      <c r="F42" s="18">
        <v>0</v>
      </c>
      <c r="G42" t="s">
        <v>422</v>
      </c>
      <c r="H42" t="s">
        <v>215</v>
      </c>
      <c r="I42" t="s">
        <v>631</v>
      </c>
      <c r="J42" s="21" t="e">
        <f>Table1[[#This Row],[interactions]]/Table1[[#This Row],[Attendance]]</f>
        <v>#DIV/0!</v>
      </c>
    </row>
    <row r="43" spans="1:10" x14ac:dyDescent="0.2">
      <c r="A43" t="s">
        <v>782</v>
      </c>
      <c r="B43" t="s">
        <v>193</v>
      </c>
      <c r="C43" s="1">
        <v>44637</v>
      </c>
      <c r="D43" t="s">
        <v>192</v>
      </c>
      <c r="E43">
        <v>35</v>
      </c>
      <c r="F43" s="18">
        <v>0</v>
      </c>
      <c r="H43" t="s">
        <v>86</v>
      </c>
      <c r="I43" t="s">
        <v>631</v>
      </c>
      <c r="J43" s="21" t="e">
        <f>Table1[[#This Row],[interactions]]/Table1[[#This Row],[Attendance]]</f>
        <v>#DIV/0!</v>
      </c>
    </row>
    <row r="44" spans="1:10" x14ac:dyDescent="0.2">
      <c r="A44" t="s">
        <v>782</v>
      </c>
      <c r="B44" t="s">
        <v>1184</v>
      </c>
      <c r="C44" s="1">
        <v>45951</v>
      </c>
      <c r="D44" t="s">
        <v>1386</v>
      </c>
      <c r="E44">
        <v>15</v>
      </c>
      <c r="F44" s="18">
        <v>0</v>
      </c>
      <c r="H44" t="s">
        <v>1409</v>
      </c>
      <c r="I44" t="s">
        <v>1410</v>
      </c>
      <c r="J44" s="21" t="e">
        <f>Table1[[#This Row],[interactions]]/Table1[[#This Row],[Attendance]]</f>
        <v>#DIV/0!</v>
      </c>
    </row>
    <row r="45" spans="1:10" x14ac:dyDescent="0.2">
      <c r="A45" t="s">
        <v>782</v>
      </c>
      <c r="B45" t="s">
        <v>589</v>
      </c>
      <c r="D45" t="s">
        <v>237</v>
      </c>
      <c r="E45">
        <v>10</v>
      </c>
      <c r="F45" s="18">
        <v>0</v>
      </c>
      <c r="I45" t="s">
        <v>590</v>
      </c>
      <c r="J45" s="21" t="e">
        <f>Table1[[#This Row],[interactions]]/Table1[[#This Row],[Attendance]]</f>
        <v>#DIV/0!</v>
      </c>
    </row>
    <row r="46" spans="1:10" x14ac:dyDescent="0.2">
      <c r="A46" t="s">
        <v>782</v>
      </c>
      <c r="B46" t="s">
        <v>1387</v>
      </c>
      <c r="C46" s="1">
        <v>45981</v>
      </c>
      <c r="D46" t="s">
        <v>1386</v>
      </c>
      <c r="E46">
        <v>0</v>
      </c>
      <c r="F46" s="18">
        <v>0</v>
      </c>
      <c r="I46" t="s">
        <v>1388</v>
      </c>
      <c r="J46" s="21" t="e">
        <f>Table1[[#This Row],[interactions]]/Table1[[#This Row],[Attendance]]</f>
        <v>#DIV/0!</v>
      </c>
    </row>
    <row r="47" spans="1:10" x14ac:dyDescent="0.2">
      <c r="A47" t="s">
        <v>15</v>
      </c>
      <c r="B47" t="s">
        <v>1702</v>
      </c>
      <c r="C47" s="1">
        <v>45106</v>
      </c>
      <c r="D47" t="s">
        <v>1701</v>
      </c>
      <c r="E47">
        <v>1914</v>
      </c>
      <c r="F47" s="18">
        <v>0</v>
      </c>
      <c r="H47" t="s">
        <v>1700</v>
      </c>
      <c r="I47" t="s">
        <v>631</v>
      </c>
      <c r="J47" s="21" t="e">
        <f>Table1[[#This Row],[interactions]]/Table1[[#This Row],[Attendance]]</f>
        <v>#DIV/0!</v>
      </c>
    </row>
    <row r="48" spans="1:10" x14ac:dyDescent="0.2">
      <c r="A48" t="s">
        <v>15</v>
      </c>
      <c r="B48" t="s">
        <v>134</v>
      </c>
      <c r="C48" s="1">
        <v>44762</v>
      </c>
      <c r="D48" t="s">
        <v>133</v>
      </c>
      <c r="E48">
        <v>100</v>
      </c>
      <c r="F48" s="18">
        <v>0</v>
      </c>
      <c r="H48" t="s">
        <v>10</v>
      </c>
      <c r="I48" t="s">
        <v>631</v>
      </c>
      <c r="J48" s="21" t="e">
        <f>Table1[[#This Row],[interactions]]/Table1[[#This Row],[Attendance]]</f>
        <v>#DIV/0!</v>
      </c>
    </row>
    <row r="49" spans="1:10" x14ac:dyDescent="0.2">
      <c r="A49" t="s">
        <v>15</v>
      </c>
      <c r="B49" t="s">
        <v>180</v>
      </c>
      <c r="C49" s="1">
        <v>44657</v>
      </c>
      <c r="D49" t="s">
        <v>96</v>
      </c>
      <c r="E49">
        <v>100</v>
      </c>
      <c r="F49" s="18">
        <v>0</v>
      </c>
      <c r="G49" t="s">
        <v>9</v>
      </c>
      <c r="H49" t="s">
        <v>10</v>
      </c>
      <c r="I49" t="s">
        <v>631</v>
      </c>
      <c r="J49" s="21" t="e">
        <f>Table1[[#This Row],[interactions]]/Table1[[#This Row],[Attendance]]</f>
        <v>#DIV/0!</v>
      </c>
    </row>
    <row r="50" spans="1:10" x14ac:dyDescent="0.2">
      <c r="A50" t="s">
        <v>15</v>
      </c>
      <c r="B50" t="s">
        <v>1882</v>
      </c>
      <c r="C50" s="1">
        <v>45734</v>
      </c>
      <c r="E50">
        <v>80</v>
      </c>
      <c r="F50" s="18">
        <v>0</v>
      </c>
      <c r="I50" t="s">
        <v>631</v>
      </c>
      <c r="J50" s="21" t="e">
        <f>Table1[[#This Row],[interactions]]/Table1[[#This Row],[Attendance]]</f>
        <v>#DIV/0!</v>
      </c>
    </row>
    <row r="51" spans="1:10" x14ac:dyDescent="0.2">
      <c r="A51" t="s">
        <v>15</v>
      </c>
      <c r="B51" t="s">
        <v>1670</v>
      </c>
      <c r="C51" s="1">
        <v>45281</v>
      </c>
      <c r="D51" t="s">
        <v>1669</v>
      </c>
      <c r="E51">
        <v>75</v>
      </c>
      <c r="F51" s="18">
        <v>0</v>
      </c>
      <c r="H51" t="s">
        <v>685</v>
      </c>
      <c r="I51" t="s">
        <v>631</v>
      </c>
      <c r="J51" s="21" t="e">
        <f>Table1[[#This Row],[interactions]]/Table1[[#This Row],[Attendance]]</f>
        <v>#DIV/0!</v>
      </c>
    </row>
    <row r="52" spans="1:10" x14ac:dyDescent="0.2">
      <c r="A52" t="s">
        <v>15</v>
      </c>
      <c r="B52" t="s">
        <v>187</v>
      </c>
      <c r="C52" s="1">
        <v>44649</v>
      </c>
      <c r="D52" t="s">
        <v>186</v>
      </c>
      <c r="E52">
        <v>50</v>
      </c>
      <c r="F52" s="18">
        <v>0</v>
      </c>
      <c r="H52" t="s">
        <v>86</v>
      </c>
      <c r="I52" t="s">
        <v>631</v>
      </c>
      <c r="J52" s="21" t="e">
        <f>Table1[[#This Row],[interactions]]/Table1[[#This Row],[Attendance]]</f>
        <v>#DIV/0!</v>
      </c>
    </row>
    <row r="53" spans="1:10" x14ac:dyDescent="0.2">
      <c r="A53" t="s">
        <v>15</v>
      </c>
      <c r="B53" t="s">
        <v>189</v>
      </c>
      <c r="C53" s="1">
        <v>44642</v>
      </c>
      <c r="D53" t="s">
        <v>186</v>
      </c>
      <c r="E53">
        <v>50</v>
      </c>
      <c r="F53" s="18">
        <v>0</v>
      </c>
      <c r="H53" t="s">
        <v>86</v>
      </c>
      <c r="I53" t="s">
        <v>631</v>
      </c>
      <c r="J53" s="21" t="e">
        <f>Table1[[#This Row],[interactions]]/Table1[[#This Row],[Attendance]]</f>
        <v>#DIV/0!</v>
      </c>
    </row>
    <row r="54" spans="1:10" x14ac:dyDescent="0.2">
      <c r="A54" t="s">
        <v>15</v>
      </c>
      <c r="B54" t="s">
        <v>1721</v>
      </c>
      <c r="C54" s="1">
        <v>45058</v>
      </c>
      <c r="D54" t="s">
        <v>1720</v>
      </c>
      <c r="E54">
        <v>45</v>
      </c>
      <c r="F54" s="18">
        <v>0</v>
      </c>
      <c r="G54" t="s">
        <v>1719</v>
      </c>
      <c r="H54" t="s">
        <v>452</v>
      </c>
      <c r="I54" t="s">
        <v>631</v>
      </c>
      <c r="J54" s="21" t="e">
        <f>Table1[[#This Row],[interactions]]/Table1[[#This Row],[Attendance]]</f>
        <v>#DIV/0!</v>
      </c>
    </row>
    <row r="55" spans="1:10" x14ac:dyDescent="0.2">
      <c r="A55" t="s">
        <v>15</v>
      </c>
      <c r="B55" t="s">
        <v>151</v>
      </c>
      <c r="C55" s="1">
        <v>44713</v>
      </c>
      <c r="E55">
        <v>45</v>
      </c>
      <c r="F55" s="18">
        <v>0</v>
      </c>
      <c r="H55" t="s">
        <v>86</v>
      </c>
      <c r="I55" t="s">
        <v>631</v>
      </c>
      <c r="J55" s="21" t="e">
        <f>Table1[[#This Row],[interactions]]/Table1[[#This Row],[Attendance]]</f>
        <v>#DIV/0!</v>
      </c>
    </row>
    <row r="56" spans="1:10" x14ac:dyDescent="0.2">
      <c r="A56" t="s">
        <v>15</v>
      </c>
      <c r="B56" t="s">
        <v>128</v>
      </c>
      <c r="C56" s="1">
        <v>44792</v>
      </c>
      <c r="E56">
        <v>40</v>
      </c>
      <c r="F56" s="18">
        <v>0</v>
      </c>
      <c r="H56" t="s">
        <v>86</v>
      </c>
      <c r="I56" t="s">
        <v>631</v>
      </c>
      <c r="J56" s="21" t="e">
        <f>Table1[[#This Row],[interactions]]/Table1[[#This Row],[Attendance]]</f>
        <v>#DIV/0!</v>
      </c>
    </row>
    <row r="57" spans="1:10" x14ac:dyDescent="0.2">
      <c r="A57" t="s">
        <v>15</v>
      </c>
      <c r="B57" t="s">
        <v>148</v>
      </c>
      <c r="C57" s="1">
        <v>44721</v>
      </c>
      <c r="D57" t="s">
        <v>147</v>
      </c>
      <c r="E57">
        <v>40</v>
      </c>
      <c r="F57" s="18">
        <v>0</v>
      </c>
      <c r="G57" t="s">
        <v>146</v>
      </c>
      <c r="H57" t="s">
        <v>86</v>
      </c>
      <c r="I57" t="s">
        <v>631</v>
      </c>
      <c r="J57" s="21" t="e">
        <f>Table1[[#This Row],[interactions]]/Table1[[#This Row],[Attendance]]</f>
        <v>#DIV/0!</v>
      </c>
    </row>
    <row r="58" spans="1:10" x14ac:dyDescent="0.2">
      <c r="A58" t="s">
        <v>15</v>
      </c>
      <c r="B58" t="s">
        <v>170</v>
      </c>
      <c r="C58" s="1">
        <v>44678</v>
      </c>
      <c r="D58" t="s">
        <v>169</v>
      </c>
      <c r="E58">
        <v>40</v>
      </c>
      <c r="F58" s="18">
        <v>0</v>
      </c>
      <c r="H58" t="s">
        <v>10</v>
      </c>
      <c r="I58" t="s">
        <v>631</v>
      </c>
      <c r="J58" s="21" t="e">
        <f>Table1[[#This Row],[interactions]]/Table1[[#This Row],[Attendance]]</f>
        <v>#DIV/0!</v>
      </c>
    </row>
    <row r="59" spans="1:10" x14ac:dyDescent="0.2">
      <c r="A59" t="s">
        <v>15</v>
      </c>
      <c r="B59" t="s">
        <v>175</v>
      </c>
      <c r="C59" s="1">
        <v>44666</v>
      </c>
      <c r="E59">
        <v>40</v>
      </c>
      <c r="F59" s="18">
        <v>0</v>
      </c>
      <c r="H59" t="s">
        <v>86</v>
      </c>
      <c r="I59" t="s">
        <v>631</v>
      </c>
      <c r="J59" s="21" t="e">
        <f>Table1[[#This Row],[interactions]]/Table1[[#This Row],[Attendance]]</f>
        <v>#DIV/0!</v>
      </c>
    </row>
    <row r="60" spans="1:10" x14ac:dyDescent="0.2">
      <c r="A60" t="s">
        <v>15</v>
      </c>
      <c r="B60" t="s">
        <v>157</v>
      </c>
      <c r="C60" s="1">
        <v>44704</v>
      </c>
      <c r="E60">
        <v>30</v>
      </c>
      <c r="F60" s="18">
        <v>0</v>
      </c>
      <c r="H60" t="s">
        <v>86</v>
      </c>
      <c r="I60" t="s">
        <v>631</v>
      </c>
      <c r="J60" s="21" t="e">
        <f>Table1[[#This Row],[interactions]]/Table1[[#This Row],[Attendance]]</f>
        <v>#DIV/0!</v>
      </c>
    </row>
    <row r="61" spans="1:10" x14ac:dyDescent="0.2">
      <c r="A61" t="s">
        <v>15</v>
      </c>
      <c r="B61" t="s">
        <v>127</v>
      </c>
      <c r="C61" s="1">
        <v>44798</v>
      </c>
      <c r="E61">
        <v>15</v>
      </c>
      <c r="F61" s="18">
        <v>0</v>
      </c>
      <c r="H61" t="s">
        <v>86</v>
      </c>
      <c r="I61" t="s">
        <v>631</v>
      </c>
      <c r="J61" s="21" t="e">
        <f>Table1[[#This Row],[interactions]]/Table1[[#This Row],[Attendance]]</f>
        <v>#DIV/0!</v>
      </c>
    </row>
    <row r="62" spans="1:10" x14ac:dyDescent="0.2">
      <c r="A62" t="s">
        <v>15</v>
      </c>
      <c r="B62" t="s">
        <v>165</v>
      </c>
      <c r="C62" s="1">
        <v>44683</v>
      </c>
      <c r="D62" t="s">
        <v>164</v>
      </c>
      <c r="E62">
        <v>15</v>
      </c>
      <c r="F62" s="18">
        <v>0</v>
      </c>
      <c r="G62" t="s">
        <v>163</v>
      </c>
      <c r="H62" t="s">
        <v>10</v>
      </c>
      <c r="I62" t="s">
        <v>631</v>
      </c>
      <c r="J62" s="21" t="e">
        <f>Table1[[#This Row],[interactions]]/Table1[[#This Row],[Attendance]]</f>
        <v>#DIV/0!</v>
      </c>
    </row>
    <row r="63" spans="1:10" x14ac:dyDescent="0.2">
      <c r="A63" t="s">
        <v>15</v>
      </c>
      <c r="B63" t="s">
        <v>1707</v>
      </c>
      <c r="C63" s="1">
        <v>45094</v>
      </c>
      <c r="D63" t="s">
        <v>1706</v>
      </c>
      <c r="E63">
        <v>10</v>
      </c>
      <c r="F63" s="18">
        <v>0</v>
      </c>
      <c r="H63" t="s">
        <v>452</v>
      </c>
      <c r="I63" t="s">
        <v>631</v>
      </c>
      <c r="J63" s="21" t="e">
        <f>Table1[[#This Row],[interactions]]/Table1[[#This Row],[Attendance]]</f>
        <v>#DIV/0!</v>
      </c>
    </row>
    <row r="64" spans="1:10" x14ac:dyDescent="0.2">
      <c r="A64" t="s">
        <v>15</v>
      </c>
      <c r="B64" t="s">
        <v>874</v>
      </c>
      <c r="C64" s="1">
        <v>45545</v>
      </c>
      <c r="D64" t="s">
        <v>217</v>
      </c>
      <c r="E64">
        <v>0</v>
      </c>
      <c r="F64" s="18">
        <v>0</v>
      </c>
      <c r="G64" t="s">
        <v>872</v>
      </c>
      <c r="H64" t="s">
        <v>608</v>
      </c>
      <c r="J64" s="21" t="e">
        <f>Table1[[#This Row],[interactions]]/Table1[[#This Row],[Attendance]]</f>
        <v>#DIV/0!</v>
      </c>
    </row>
    <row r="65" spans="1:10" x14ac:dyDescent="0.2">
      <c r="A65" t="s">
        <v>15</v>
      </c>
      <c r="B65" t="s">
        <v>1277</v>
      </c>
      <c r="C65" s="1">
        <v>45378</v>
      </c>
      <c r="D65" t="s">
        <v>217</v>
      </c>
      <c r="E65">
        <v>0</v>
      </c>
      <c r="F65" s="18">
        <v>0</v>
      </c>
      <c r="H65" t="s">
        <v>1276</v>
      </c>
      <c r="J65" s="21" t="e">
        <f>Table1[[#This Row],[interactions]]/Table1[[#This Row],[Attendance]]</f>
        <v>#DIV/0!</v>
      </c>
    </row>
    <row r="66" spans="1:10" x14ac:dyDescent="0.2">
      <c r="A66" t="s">
        <v>23</v>
      </c>
      <c r="B66" t="s">
        <v>1725</v>
      </c>
      <c r="C66" s="1">
        <v>45043</v>
      </c>
      <c r="D66" t="s">
        <v>23</v>
      </c>
      <c r="E66">
        <v>250</v>
      </c>
      <c r="F66" s="18">
        <v>0</v>
      </c>
      <c r="H66" t="s">
        <v>1722</v>
      </c>
      <c r="I66" t="s">
        <v>631</v>
      </c>
      <c r="J66" s="21" t="e">
        <f>Table1[[#This Row],[interactions]]/Table1[[#This Row],[Attendance]]</f>
        <v>#DIV/0!</v>
      </c>
    </row>
    <row r="67" spans="1:10" x14ac:dyDescent="0.2">
      <c r="A67" t="s">
        <v>23</v>
      </c>
      <c r="B67" t="s">
        <v>1160</v>
      </c>
      <c r="C67" s="1">
        <v>45434</v>
      </c>
      <c r="D67" t="s">
        <v>115</v>
      </c>
      <c r="E67">
        <v>100</v>
      </c>
      <c r="F67" s="18">
        <v>0</v>
      </c>
      <c r="G67" t="s">
        <v>1159</v>
      </c>
      <c r="H67" t="s">
        <v>1158</v>
      </c>
      <c r="J67" s="21" t="e">
        <f>Table1[[#This Row],[interactions]]/Table1[[#This Row],[Attendance]]</f>
        <v>#DIV/0!</v>
      </c>
    </row>
    <row r="68" spans="1:10" x14ac:dyDescent="0.2">
      <c r="A68" t="s">
        <v>23</v>
      </c>
      <c r="B68" t="s">
        <v>306</v>
      </c>
      <c r="C68" s="1">
        <v>45219</v>
      </c>
      <c r="D68" t="s">
        <v>94</v>
      </c>
      <c r="E68">
        <v>100</v>
      </c>
      <c r="F68" s="18">
        <v>0</v>
      </c>
      <c r="G68" t="s">
        <v>305</v>
      </c>
      <c r="H68" t="s">
        <v>22</v>
      </c>
      <c r="I68" t="s">
        <v>631</v>
      </c>
      <c r="J68" s="21" t="e">
        <f>Table1[[#This Row],[interactions]]/Table1[[#This Row],[Attendance]]</f>
        <v>#DIV/0!</v>
      </c>
    </row>
    <row r="69" spans="1:10" x14ac:dyDescent="0.2">
      <c r="A69" t="s">
        <v>1767</v>
      </c>
      <c r="B69" t="s">
        <v>1867</v>
      </c>
      <c r="C69" s="1">
        <v>45810</v>
      </c>
      <c r="D69" t="s">
        <v>1866</v>
      </c>
      <c r="E69">
        <v>150</v>
      </c>
      <c r="F69" s="18">
        <v>0</v>
      </c>
      <c r="H69" t="s">
        <v>22</v>
      </c>
      <c r="I69" t="s">
        <v>631</v>
      </c>
      <c r="J69" s="21" t="e">
        <f>Table1[[#This Row],[interactions]]/Table1[[#This Row],[Attendance]]</f>
        <v>#DIV/0!</v>
      </c>
    </row>
    <row r="70" spans="1:10" x14ac:dyDescent="0.2">
      <c r="A70" t="s">
        <v>1767</v>
      </c>
      <c r="B70" t="s">
        <v>1699</v>
      </c>
      <c r="C70" s="1">
        <v>45108</v>
      </c>
      <c r="D70" t="s">
        <v>1698</v>
      </c>
      <c r="E70">
        <v>150</v>
      </c>
      <c r="F70" s="18">
        <v>0</v>
      </c>
      <c r="H70" t="s">
        <v>452</v>
      </c>
      <c r="I70" t="s">
        <v>631</v>
      </c>
      <c r="J70" s="21" t="e">
        <f>Table1[[#This Row],[interactions]]/Table1[[#This Row],[Attendance]]</f>
        <v>#DIV/0!</v>
      </c>
    </row>
    <row r="71" spans="1:10" x14ac:dyDescent="0.2">
      <c r="A71" t="s">
        <v>1767</v>
      </c>
      <c r="B71" t="s">
        <v>1705</v>
      </c>
      <c r="C71" s="1">
        <v>45100</v>
      </c>
      <c r="D71" t="s">
        <v>1672</v>
      </c>
      <c r="E71">
        <v>100</v>
      </c>
      <c r="H71" t="s">
        <v>452</v>
      </c>
      <c r="I71" t="s">
        <v>631</v>
      </c>
      <c r="J71" s="21" t="e">
        <f>Table1[[#This Row],[interactions]]/Table1[[#This Row],[Attendance]]</f>
        <v>#DIV/0!</v>
      </c>
    </row>
    <row r="72" spans="1:10" x14ac:dyDescent="0.2">
      <c r="A72" t="s">
        <v>1804</v>
      </c>
      <c r="B72" t="s">
        <v>204</v>
      </c>
      <c r="C72" s="1">
        <v>44601</v>
      </c>
      <c r="E72">
        <v>20</v>
      </c>
      <c r="F72" s="18">
        <v>0</v>
      </c>
      <c r="H72" t="s">
        <v>86</v>
      </c>
      <c r="I72" t="s">
        <v>631</v>
      </c>
      <c r="J72" s="21" t="e">
        <f>Table1[[#This Row],[interactions]]/Table1[[#This Row],[Attendance]]</f>
        <v>#DIV/0!</v>
      </c>
    </row>
    <row r="73" spans="1:10" x14ac:dyDescent="0.2">
      <c r="A73" t="s">
        <v>366</v>
      </c>
      <c r="B73" t="s">
        <v>196</v>
      </c>
      <c r="C73" s="1">
        <v>44635</v>
      </c>
      <c r="E73">
        <v>40</v>
      </c>
      <c r="F73" s="18">
        <v>0</v>
      </c>
      <c r="H73" t="s">
        <v>86</v>
      </c>
      <c r="I73" t="s">
        <v>631</v>
      </c>
      <c r="J73" s="21" t="e">
        <f>Table1[[#This Row],[interactions]]/Table1[[#This Row],[Attendance]]</f>
        <v>#DIV/0!</v>
      </c>
    </row>
    <row r="74" spans="1:10" x14ac:dyDescent="0.2">
      <c r="A74" t="s">
        <v>366</v>
      </c>
      <c r="B74" t="s">
        <v>1394</v>
      </c>
      <c r="C74" s="1">
        <v>45974</v>
      </c>
      <c r="D74" t="s">
        <v>366</v>
      </c>
      <c r="E74">
        <v>0</v>
      </c>
      <c r="F74" s="18">
        <v>0</v>
      </c>
      <c r="H74" t="s">
        <v>1392</v>
      </c>
      <c r="I74" t="s">
        <v>690</v>
      </c>
      <c r="J74" s="21" t="e">
        <f>Table1[[#This Row],[interactions]]/Table1[[#This Row],[Attendance]]</f>
        <v>#DIV/0!</v>
      </c>
    </row>
    <row r="75" spans="1:10" x14ac:dyDescent="0.2">
      <c r="A75" s="17" t="s">
        <v>366</v>
      </c>
      <c r="B75" t="s">
        <v>233</v>
      </c>
      <c r="C75" s="1">
        <v>45272</v>
      </c>
      <c r="D75" t="s">
        <v>217</v>
      </c>
      <c r="E75">
        <v>0</v>
      </c>
      <c r="F75" s="18">
        <v>0</v>
      </c>
      <c r="H75" t="s">
        <v>229</v>
      </c>
      <c r="I75" t="s">
        <v>631</v>
      </c>
      <c r="J75" s="21" t="e">
        <f>Table1[[#This Row],[interactions]]/Table1[[#This Row],[Attendance]]</f>
        <v>#DIV/0!</v>
      </c>
    </row>
    <row r="76" spans="1:10" x14ac:dyDescent="0.2">
      <c r="A76" s="17" t="s">
        <v>366</v>
      </c>
      <c r="B76" t="s">
        <v>233</v>
      </c>
      <c r="C76" s="1">
        <v>45258</v>
      </c>
      <c r="D76" t="s">
        <v>217</v>
      </c>
      <c r="E76">
        <v>0</v>
      </c>
      <c r="F76" s="18">
        <v>0</v>
      </c>
      <c r="H76" t="s">
        <v>229</v>
      </c>
      <c r="I76" t="s">
        <v>631</v>
      </c>
      <c r="J76" s="21" t="e">
        <f>Table1[[#This Row],[interactions]]/Table1[[#This Row],[Attendance]]</f>
        <v>#DIV/0!</v>
      </c>
    </row>
    <row r="77" spans="1:10" x14ac:dyDescent="0.2">
      <c r="A77" t="s">
        <v>640</v>
      </c>
      <c r="B77" t="s">
        <v>432</v>
      </c>
      <c r="C77" s="1">
        <v>45110</v>
      </c>
      <c r="D77" t="s">
        <v>431</v>
      </c>
      <c r="E77">
        <v>0</v>
      </c>
      <c r="F77" s="18">
        <v>0</v>
      </c>
      <c r="H77" t="s">
        <v>423</v>
      </c>
      <c r="I77" t="s">
        <v>631</v>
      </c>
      <c r="J77" s="21" t="e">
        <f>Table1[[#This Row],[interactions]]/Table1[[#This Row],[Attendance]]</f>
        <v>#DIV/0!</v>
      </c>
    </row>
    <row r="78" spans="1:10" x14ac:dyDescent="0.2">
      <c r="A78" t="s">
        <v>640</v>
      </c>
      <c r="B78" t="s">
        <v>1447</v>
      </c>
      <c r="C78" s="1">
        <v>45924</v>
      </c>
      <c r="D78" t="s">
        <v>115</v>
      </c>
      <c r="E78" s="2">
        <v>1403</v>
      </c>
      <c r="F78" s="18">
        <v>0</v>
      </c>
      <c r="H78" t="s">
        <v>1404</v>
      </c>
      <c r="I78" t="s">
        <v>1448</v>
      </c>
      <c r="J78" s="21" t="e">
        <f>Table1[[#This Row],[interactions]]/Table1[[#This Row],[Attendance]]</f>
        <v>#DIV/0!</v>
      </c>
    </row>
    <row r="79" spans="1:10" x14ac:dyDescent="0.2">
      <c r="A79" t="s">
        <v>640</v>
      </c>
      <c r="B79" t="s">
        <v>1539</v>
      </c>
      <c r="C79" s="1">
        <v>45841</v>
      </c>
      <c r="D79" t="s">
        <v>359</v>
      </c>
      <c r="E79">
        <v>81</v>
      </c>
      <c r="F79" s="18">
        <v>0</v>
      </c>
      <c r="H79" t="s">
        <v>941</v>
      </c>
      <c r="I79" t="s">
        <v>1540</v>
      </c>
      <c r="J79" s="21" t="e">
        <f>Table1[[#This Row],[interactions]]/Table1[[#This Row],[Attendance]]</f>
        <v>#DIV/0!</v>
      </c>
    </row>
    <row r="80" spans="1:10" x14ac:dyDescent="0.2">
      <c r="A80" t="s">
        <v>640</v>
      </c>
      <c r="B80" t="s">
        <v>1405</v>
      </c>
      <c r="C80" s="1">
        <v>45952</v>
      </c>
      <c r="D80" t="s">
        <v>217</v>
      </c>
      <c r="E80">
        <v>0</v>
      </c>
      <c r="F80" s="18">
        <v>0</v>
      </c>
      <c r="H80" t="s">
        <v>1404</v>
      </c>
      <c r="I80" t="s">
        <v>1406</v>
      </c>
      <c r="J80" s="21" t="e">
        <f>Table1[[#This Row],[interactions]]/Table1[[#This Row],[Attendance]]</f>
        <v>#DIV/0!</v>
      </c>
    </row>
    <row r="81" spans="1:10" x14ac:dyDescent="0.2">
      <c r="A81" t="s">
        <v>1692</v>
      </c>
      <c r="B81" t="s">
        <v>1762</v>
      </c>
      <c r="E81">
        <v>24</v>
      </c>
      <c r="F81" s="18">
        <v>0</v>
      </c>
      <c r="I81" t="s">
        <v>631</v>
      </c>
      <c r="J81" s="21" t="e">
        <f>Table1[[#This Row],[interactions]]/Table1[[#This Row],[Attendance]]</f>
        <v>#DIV/0!</v>
      </c>
    </row>
    <row r="82" spans="1:10" x14ac:dyDescent="0.2">
      <c r="A82" t="s">
        <v>11</v>
      </c>
      <c r="B82" t="s">
        <v>425</v>
      </c>
      <c r="C82" s="1">
        <v>45114</v>
      </c>
      <c r="D82" t="s">
        <v>217</v>
      </c>
      <c r="E82">
        <v>100</v>
      </c>
      <c r="F82" s="18">
        <v>5</v>
      </c>
      <c r="G82" t="s">
        <v>424</v>
      </c>
      <c r="H82" t="s">
        <v>423</v>
      </c>
      <c r="I82" t="s">
        <v>631</v>
      </c>
      <c r="J82" s="21">
        <f>Table1[[#This Row],[interactions]]/Table1[[#This Row],[Attendance]]</f>
        <v>20</v>
      </c>
    </row>
    <row r="83" spans="1:10" x14ac:dyDescent="0.2">
      <c r="A83" t="s">
        <v>11</v>
      </c>
      <c r="B83" t="s">
        <v>472</v>
      </c>
      <c r="C83" s="1">
        <v>45057</v>
      </c>
      <c r="D83" t="s">
        <v>217</v>
      </c>
      <c r="E83">
        <v>70</v>
      </c>
      <c r="F83" s="18">
        <v>5</v>
      </c>
      <c r="G83" t="s">
        <v>471</v>
      </c>
      <c r="H83" t="s">
        <v>215</v>
      </c>
      <c r="I83" t="s">
        <v>631</v>
      </c>
      <c r="J83" s="21">
        <f>Table1[[#This Row],[interactions]]/Table1[[#This Row],[Attendance]]</f>
        <v>14</v>
      </c>
    </row>
    <row r="84" spans="1:10" x14ac:dyDescent="0.2">
      <c r="A84" t="s">
        <v>11</v>
      </c>
      <c r="B84" t="s">
        <v>1289</v>
      </c>
      <c r="C84" s="1">
        <v>45372</v>
      </c>
      <c r="D84" t="s">
        <v>217</v>
      </c>
      <c r="E84">
        <v>150</v>
      </c>
      <c r="F84" s="18">
        <v>15</v>
      </c>
      <c r="G84" t="s">
        <v>1288</v>
      </c>
      <c r="H84" t="s">
        <v>834</v>
      </c>
      <c r="J84" s="21">
        <f>Table1[[#This Row],[interactions]]/Table1[[#This Row],[Attendance]]</f>
        <v>10</v>
      </c>
    </row>
    <row r="85" spans="1:10" x14ac:dyDescent="0.2">
      <c r="A85" t="s">
        <v>11</v>
      </c>
      <c r="B85" t="s">
        <v>364</v>
      </c>
      <c r="C85" s="1">
        <v>45174</v>
      </c>
      <c r="D85" t="s">
        <v>217</v>
      </c>
      <c r="E85">
        <v>10</v>
      </c>
      <c r="F85" s="18">
        <v>2</v>
      </c>
      <c r="G85" t="s">
        <v>363</v>
      </c>
      <c r="H85" t="s">
        <v>215</v>
      </c>
      <c r="I85" t="s">
        <v>631</v>
      </c>
      <c r="J85" s="21">
        <f>Table1[[#This Row],[interactions]]/Table1[[#This Row],[Attendance]]</f>
        <v>5</v>
      </c>
    </row>
    <row r="86" spans="1:10" x14ac:dyDescent="0.2">
      <c r="A86" s="17" t="s">
        <v>366</v>
      </c>
      <c r="B86" t="s">
        <v>444</v>
      </c>
      <c r="C86" s="1">
        <v>45091</v>
      </c>
      <c r="D86" t="s">
        <v>217</v>
      </c>
      <c r="E86">
        <v>30</v>
      </c>
      <c r="F86" s="18">
        <v>7</v>
      </c>
      <c r="G86" t="s">
        <v>443</v>
      </c>
      <c r="H86" t="s">
        <v>215</v>
      </c>
      <c r="I86" t="s">
        <v>631</v>
      </c>
      <c r="J86" s="21">
        <f>Table1[[#This Row],[interactions]]/Table1[[#This Row],[Attendance]]</f>
        <v>4.2857142857142856</v>
      </c>
    </row>
    <row r="87" spans="1:10" x14ac:dyDescent="0.2">
      <c r="A87" t="s">
        <v>11</v>
      </c>
      <c r="B87" t="s">
        <v>265</v>
      </c>
      <c r="C87" s="1">
        <v>45093</v>
      </c>
      <c r="D87" t="s">
        <v>217</v>
      </c>
      <c r="E87">
        <v>10</v>
      </c>
      <c r="F87" s="18">
        <v>3</v>
      </c>
      <c r="G87" t="s">
        <v>441</v>
      </c>
      <c r="H87" t="s">
        <v>215</v>
      </c>
      <c r="I87" t="s">
        <v>631</v>
      </c>
      <c r="J87" s="21">
        <f>Table1[[#This Row],[interactions]]/Table1[[#This Row],[Attendance]]</f>
        <v>3.3333333333333335</v>
      </c>
    </row>
    <row r="88" spans="1:10" x14ac:dyDescent="0.2">
      <c r="A88" t="s">
        <v>11</v>
      </c>
      <c r="B88" t="s">
        <v>222</v>
      </c>
      <c r="C88" s="1">
        <v>45275</v>
      </c>
      <c r="D88" t="s">
        <v>217</v>
      </c>
      <c r="E88">
        <v>20</v>
      </c>
      <c r="F88" s="18">
        <v>6</v>
      </c>
      <c r="G88" t="s">
        <v>221</v>
      </c>
      <c r="H88" t="s">
        <v>215</v>
      </c>
      <c r="I88" t="s">
        <v>631</v>
      </c>
      <c r="J88" s="21">
        <f>Table1[[#This Row],[interactions]]/Table1[[#This Row],[Attendance]]</f>
        <v>3.3333333333333335</v>
      </c>
    </row>
    <row r="89" spans="1:10" x14ac:dyDescent="0.2">
      <c r="A89" t="s">
        <v>11</v>
      </c>
      <c r="B89" t="s">
        <v>1348</v>
      </c>
      <c r="C89" s="1">
        <v>45316</v>
      </c>
      <c r="D89" t="s">
        <v>366</v>
      </c>
      <c r="E89">
        <v>30</v>
      </c>
      <c r="F89" s="18">
        <v>10</v>
      </c>
      <c r="G89" t="s">
        <v>1347</v>
      </c>
      <c r="H89" t="s">
        <v>215</v>
      </c>
      <c r="J89" s="21">
        <f>Table1[[#This Row],[interactions]]/Table1[[#This Row],[Attendance]]</f>
        <v>3</v>
      </c>
    </row>
    <row r="90" spans="1:10" x14ac:dyDescent="0.2">
      <c r="A90" t="s">
        <v>11</v>
      </c>
      <c r="B90" t="s">
        <v>226</v>
      </c>
      <c r="C90" s="1">
        <v>45274</v>
      </c>
      <c r="D90" t="s">
        <v>225</v>
      </c>
      <c r="E90">
        <v>60</v>
      </c>
      <c r="F90" s="18">
        <v>20</v>
      </c>
      <c r="G90" t="s">
        <v>224</v>
      </c>
      <c r="H90" t="s">
        <v>215</v>
      </c>
      <c r="I90" t="s">
        <v>631</v>
      </c>
      <c r="J90" s="21">
        <f>Table1[[#This Row],[interactions]]/Table1[[#This Row],[Attendance]]</f>
        <v>3</v>
      </c>
    </row>
    <row r="91" spans="1:10" x14ac:dyDescent="0.2">
      <c r="A91" t="s">
        <v>94</v>
      </c>
      <c r="B91" t="s">
        <v>220</v>
      </c>
      <c r="C91" s="1">
        <v>45276</v>
      </c>
      <c r="D91" t="s">
        <v>115</v>
      </c>
      <c r="E91">
        <v>8845</v>
      </c>
      <c r="F91" s="18">
        <v>3500</v>
      </c>
      <c r="H91" t="s">
        <v>219</v>
      </c>
      <c r="I91" t="s">
        <v>631</v>
      </c>
      <c r="J91" s="21">
        <f>Table1[[#This Row],[interactions]]/Table1[[#This Row],[Attendance]]</f>
        <v>2.5271428571428571</v>
      </c>
    </row>
    <row r="92" spans="1:10" x14ac:dyDescent="0.2">
      <c r="A92" t="s">
        <v>11</v>
      </c>
      <c r="B92" t="s">
        <v>218</v>
      </c>
      <c r="C92" s="1">
        <v>45098</v>
      </c>
      <c r="D92" t="s">
        <v>217</v>
      </c>
      <c r="E92">
        <v>30</v>
      </c>
      <c r="F92" s="18">
        <v>12</v>
      </c>
      <c r="G92" t="s">
        <v>438</v>
      </c>
      <c r="H92" t="s">
        <v>215</v>
      </c>
      <c r="I92" t="s">
        <v>631</v>
      </c>
      <c r="J92" s="21">
        <f>Table1[[#This Row],[interactions]]/Table1[[#This Row],[Attendance]]</f>
        <v>2.5</v>
      </c>
    </row>
    <row r="93" spans="1:10" x14ac:dyDescent="0.2">
      <c r="A93" t="s">
        <v>11</v>
      </c>
      <c r="B93" t="s">
        <v>1331</v>
      </c>
      <c r="C93" s="1">
        <v>45343</v>
      </c>
      <c r="D93" t="s">
        <v>217</v>
      </c>
      <c r="E93">
        <v>20</v>
      </c>
      <c r="F93" s="18">
        <v>10</v>
      </c>
      <c r="G93" t="s">
        <v>1330</v>
      </c>
      <c r="H93" t="s">
        <v>215</v>
      </c>
      <c r="J93" s="21">
        <f>Table1[[#This Row],[interactions]]/Table1[[#This Row],[Attendance]]</f>
        <v>2</v>
      </c>
    </row>
    <row r="94" spans="1:10" x14ac:dyDescent="0.2">
      <c r="A94" t="s">
        <v>11</v>
      </c>
      <c r="B94" t="s">
        <v>379</v>
      </c>
      <c r="C94" s="1">
        <v>45162</v>
      </c>
      <c r="D94" t="s">
        <v>366</v>
      </c>
      <c r="E94">
        <v>20</v>
      </c>
      <c r="F94" s="18">
        <v>10</v>
      </c>
      <c r="G94" t="s">
        <v>378</v>
      </c>
      <c r="H94" t="s">
        <v>215</v>
      </c>
      <c r="I94" t="s">
        <v>631</v>
      </c>
      <c r="J94" s="21">
        <f>Table1[[#This Row],[interactions]]/Table1[[#This Row],[Attendance]]</f>
        <v>2</v>
      </c>
    </row>
    <row r="95" spans="1:10" x14ac:dyDescent="0.2">
      <c r="A95" t="s">
        <v>11</v>
      </c>
      <c r="B95" t="s">
        <v>412</v>
      </c>
      <c r="C95" s="1">
        <v>45133</v>
      </c>
      <c r="D95" t="s">
        <v>217</v>
      </c>
      <c r="E95">
        <v>20</v>
      </c>
      <c r="F95" s="18">
        <v>10</v>
      </c>
      <c r="G95" t="s">
        <v>411</v>
      </c>
      <c r="H95" t="s">
        <v>215</v>
      </c>
      <c r="I95" t="s">
        <v>631</v>
      </c>
      <c r="J95" s="21">
        <f>Table1[[#This Row],[interactions]]/Table1[[#This Row],[Attendance]]</f>
        <v>2</v>
      </c>
    </row>
    <row r="96" spans="1:10" x14ac:dyDescent="0.2">
      <c r="A96" t="s">
        <v>11</v>
      </c>
      <c r="B96" t="s">
        <v>269</v>
      </c>
      <c r="C96" s="1">
        <v>45203</v>
      </c>
      <c r="D96" t="s">
        <v>217</v>
      </c>
      <c r="E96">
        <v>30</v>
      </c>
      <c r="F96" s="18">
        <v>15</v>
      </c>
      <c r="G96" t="s">
        <v>320</v>
      </c>
      <c r="H96" t="s">
        <v>215</v>
      </c>
      <c r="I96" t="s">
        <v>631</v>
      </c>
      <c r="J96" s="21">
        <f>Table1[[#This Row],[interactions]]/Table1[[#This Row],[Attendance]]</f>
        <v>2</v>
      </c>
    </row>
    <row r="97" spans="1:10" x14ac:dyDescent="0.2">
      <c r="A97" t="s">
        <v>11</v>
      </c>
      <c r="B97" t="s">
        <v>362</v>
      </c>
      <c r="C97" s="1">
        <v>45176</v>
      </c>
      <c r="D97" t="s">
        <v>217</v>
      </c>
      <c r="E97">
        <v>30</v>
      </c>
      <c r="F97" s="18">
        <v>15</v>
      </c>
      <c r="G97" t="s">
        <v>361</v>
      </c>
      <c r="H97" t="s">
        <v>215</v>
      </c>
      <c r="I97" t="s">
        <v>631</v>
      </c>
      <c r="J97" s="21">
        <f>Table1[[#This Row],[interactions]]/Table1[[#This Row],[Attendance]]</f>
        <v>2</v>
      </c>
    </row>
    <row r="98" spans="1:10" x14ac:dyDescent="0.2">
      <c r="A98" t="s">
        <v>11</v>
      </c>
      <c r="B98" t="s">
        <v>404</v>
      </c>
      <c r="C98" s="1">
        <v>45140</v>
      </c>
      <c r="D98" t="s">
        <v>217</v>
      </c>
      <c r="E98">
        <v>20</v>
      </c>
      <c r="F98" s="18">
        <v>13</v>
      </c>
      <c r="G98" t="s">
        <v>403</v>
      </c>
      <c r="H98" t="s">
        <v>215</v>
      </c>
      <c r="I98" t="s">
        <v>631</v>
      </c>
      <c r="J98" s="21">
        <f>Table1[[#This Row],[interactions]]/Table1[[#This Row],[Attendance]]</f>
        <v>1.5384615384615385</v>
      </c>
    </row>
    <row r="99" spans="1:10" x14ac:dyDescent="0.2">
      <c r="A99" t="s">
        <v>11</v>
      </c>
      <c r="B99" t="s">
        <v>173</v>
      </c>
      <c r="C99" s="1">
        <v>44589</v>
      </c>
      <c r="D99" t="s">
        <v>48</v>
      </c>
      <c r="E99">
        <v>45</v>
      </c>
      <c r="F99" s="18">
        <v>30</v>
      </c>
      <c r="H99" t="s">
        <v>86</v>
      </c>
      <c r="I99" t="s">
        <v>631</v>
      </c>
      <c r="J99" s="21">
        <f>Table1[[#This Row],[interactions]]/Table1[[#This Row],[Attendance]]</f>
        <v>1.5</v>
      </c>
    </row>
    <row r="100" spans="1:10" x14ac:dyDescent="0.2">
      <c r="A100" t="s">
        <v>11</v>
      </c>
      <c r="B100" t="s">
        <v>740</v>
      </c>
      <c r="C100" s="1">
        <v>45770</v>
      </c>
      <c r="D100" t="s">
        <v>217</v>
      </c>
      <c r="E100">
        <v>15</v>
      </c>
      <c r="F100" s="18">
        <v>10</v>
      </c>
      <c r="H100" t="s">
        <v>1409</v>
      </c>
      <c r="I100" t="s">
        <v>614</v>
      </c>
      <c r="J100" s="21">
        <f>Table1[[#This Row],[interactions]]/Table1[[#This Row],[Attendance]]</f>
        <v>1.5</v>
      </c>
    </row>
    <row r="101" spans="1:10" x14ac:dyDescent="0.2">
      <c r="A101" t="s">
        <v>11</v>
      </c>
      <c r="B101" t="s">
        <v>889</v>
      </c>
      <c r="C101" s="1">
        <v>45540</v>
      </c>
      <c r="D101" t="s">
        <v>217</v>
      </c>
      <c r="E101">
        <v>30</v>
      </c>
      <c r="F101" s="18">
        <v>20</v>
      </c>
      <c r="G101" t="s">
        <v>888</v>
      </c>
      <c r="H101" t="s">
        <v>215</v>
      </c>
      <c r="I101" t="s">
        <v>617</v>
      </c>
      <c r="J101" s="21">
        <f>Table1[[#This Row],[interactions]]/Table1[[#This Row],[Attendance]]</f>
        <v>1.5</v>
      </c>
    </row>
    <row r="102" spans="1:10" x14ac:dyDescent="0.2">
      <c r="A102" t="s">
        <v>11</v>
      </c>
      <c r="B102" t="s">
        <v>620</v>
      </c>
      <c r="C102" s="1">
        <v>45344</v>
      </c>
      <c r="D102" t="s">
        <v>217</v>
      </c>
      <c r="E102">
        <v>40</v>
      </c>
      <c r="F102" s="18">
        <v>30</v>
      </c>
      <c r="G102" t="s">
        <v>1326</v>
      </c>
      <c r="H102" t="s">
        <v>215</v>
      </c>
      <c r="J102" s="21">
        <f>Table1[[#This Row],[interactions]]/Table1[[#This Row],[Attendance]]</f>
        <v>1.3333333333333333</v>
      </c>
    </row>
    <row r="103" spans="1:10" x14ac:dyDescent="0.2">
      <c r="A103" t="s">
        <v>11</v>
      </c>
      <c r="B103" t="s">
        <v>284</v>
      </c>
      <c r="C103" s="1">
        <v>45224</v>
      </c>
      <c r="D103" t="s">
        <v>217</v>
      </c>
      <c r="E103">
        <v>10</v>
      </c>
      <c r="F103" s="18">
        <v>8</v>
      </c>
      <c r="G103" t="s">
        <v>283</v>
      </c>
      <c r="H103" t="s">
        <v>282</v>
      </c>
      <c r="I103" t="s">
        <v>631</v>
      </c>
      <c r="J103" s="21">
        <f>Table1[[#This Row],[interactions]]/Table1[[#This Row],[Attendance]]</f>
        <v>1.25</v>
      </c>
    </row>
    <row r="104" spans="1:10" x14ac:dyDescent="0.2">
      <c r="A104" t="s">
        <v>11</v>
      </c>
      <c r="B104" t="s">
        <v>1530</v>
      </c>
      <c r="C104" s="1">
        <v>45706</v>
      </c>
      <c r="D104" t="s">
        <v>366</v>
      </c>
      <c r="E104">
        <v>35</v>
      </c>
      <c r="F104" s="18">
        <v>30</v>
      </c>
      <c r="H104" t="s">
        <v>621</v>
      </c>
      <c r="I104" t="s">
        <v>623</v>
      </c>
      <c r="J104" s="21">
        <f>Table1[[#This Row],[interactions]]/Table1[[#This Row],[Attendance]]</f>
        <v>1.1666666666666667</v>
      </c>
    </row>
    <row r="105" spans="1:10" x14ac:dyDescent="0.2">
      <c r="A105" t="s">
        <v>1804</v>
      </c>
      <c r="B105" t="s">
        <v>1879</v>
      </c>
      <c r="C105" s="1">
        <v>45758</v>
      </c>
      <c r="D105" t="s">
        <v>1878</v>
      </c>
      <c r="E105">
        <v>55</v>
      </c>
      <c r="F105" s="18">
        <v>50</v>
      </c>
      <c r="H105" t="s">
        <v>1409</v>
      </c>
      <c r="I105" t="s">
        <v>631</v>
      </c>
      <c r="J105" s="21">
        <f>Table1[[#This Row],[interactions]]/Table1[[#This Row],[Attendance]]</f>
        <v>1.1000000000000001</v>
      </c>
    </row>
    <row r="106" spans="1:10" x14ac:dyDescent="0.2">
      <c r="A106" t="s">
        <v>1692</v>
      </c>
      <c r="B106" t="s">
        <v>1724</v>
      </c>
      <c r="C106" s="1">
        <v>45051</v>
      </c>
      <c r="D106" t="s">
        <v>1723</v>
      </c>
      <c r="E106">
        <v>25</v>
      </c>
      <c r="F106" s="18">
        <v>24</v>
      </c>
      <c r="H106" t="s">
        <v>1722</v>
      </c>
      <c r="I106" t="s">
        <v>631</v>
      </c>
      <c r="J106" s="21">
        <f>Table1[[#This Row],[interactions]]/Table1[[#This Row],[Attendance]]</f>
        <v>1.0416666666666667</v>
      </c>
    </row>
    <row r="107" spans="1:10" x14ac:dyDescent="0.2">
      <c r="A107" t="s">
        <v>94</v>
      </c>
      <c r="B107" t="s">
        <v>1181</v>
      </c>
      <c r="C107" s="1">
        <v>45420</v>
      </c>
      <c r="D107" t="s">
        <v>217</v>
      </c>
      <c r="E107">
        <v>520</v>
      </c>
      <c r="F107" s="18">
        <v>500</v>
      </c>
      <c r="G107" t="s">
        <v>1180</v>
      </c>
      <c r="H107" t="s">
        <v>490</v>
      </c>
      <c r="J107" s="21">
        <f>Table1[[#This Row],[interactions]]/Table1[[#This Row],[Attendance]]</f>
        <v>1.04</v>
      </c>
    </row>
    <row r="108" spans="1:10" x14ac:dyDescent="0.2">
      <c r="A108" t="s">
        <v>94</v>
      </c>
      <c r="B108" t="s">
        <v>1450</v>
      </c>
      <c r="C108" s="1">
        <v>45923</v>
      </c>
      <c r="D108" t="s">
        <v>115</v>
      </c>
      <c r="E108">
        <v>100</v>
      </c>
      <c r="F108" s="18">
        <v>100</v>
      </c>
      <c r="H108" t="s">
        <v>1449</v>
      </c>
      <c r="I108" t="s">
        <v>1403</v>
      </c>
      <c r="J108" s="21">
        <f>Table1[[#This Row],[interactions]]/Table1[[#This Row],[Attendance]]</f>
        <v>1</v>
      </c>
    </row>
    <row r="109" spans="1:10" x14ac:dyDescent="0.2">
      <c r="A109" t="s">
        <v>94</v>
      </c>
      <c r="B109" t="s">
        <v>1133</v>
      </c>
      <c r="C109" s="1">
        <v>45448</v>
      </c>
      <c r="D109" t="s">
        <v>115</v>
      </c>
      <c r="E109">
        <v>230</v>
      </c>
      <c r="F109" s="18">
        <v>230</v>
      </c>
      <c r="G109" t="s">
        <v>1132</v>
      </c>
      <c r="H109" t="s">
        <v>1131</v>
      </c>
      <c r="J109" s="21">
        <f>Table1[[#This Row],[interactions]]/Table1[[#This Row],[Attendance]]</f>
        <v>1</v>
      </c>
    </row>
    <row r="110" spans="1:10" x14ac:dyDescent="0.2">
      <c r="A110" t="s">
        <v>94</v>
      </c>
      <c r="B110" t="s">
        <v>1784</v>
      </c>
      <c r="C110" s="1">
        <v>45469</v>
      </c>
      <c r="D110" t="s">
        <v>1783</v>
      </c>
      <c r="E110">
        <v>250</v>
      </c>
      <c r="F110" s="18">
        <v>250</v>
      </c>
      <c r="H110" t="s">
        <v>685</v>
      </c>
      <c r="I110" t="s">
        <v>631</v>
      </c>
      <c r="J110" s="21">
        <f>Table1[[#This Row],[interactions]]/Table1[[#This Row],[Attendance]]</f>
        <v>1</v>
      </c>
    </row>
    <row r="111" spans="1:10" x14ac:dyDescent="0.2">
      <c r="A111" t="s">
        <v>94</v>
      </c>
      <c r="B111" t="s">
        <v>1785</v>
      </c>
      <c r="C111" s="1">
        <v>45468</v>
      </c>
      <c r="D111" t="s">
        <v>1783</v>
      </c>
      <c r="E111">
        <v>250</v>
      </c>
      <c r="F111" s="18">
        <v>250</v>
      </c>
      <c r="H111" t="s">
        <v>685</v>
      </c>
      <c r="I111" t="s">
        <v>631</v>
      </c>
      <c r="J111" s="21">
        <f>Table1[[#This Row],[interactions]]/Table1[[#This Row],[Attendance]]</f>
        <v>1</v>
      </c>
    </row>
    <row r="112" spans="1:10" x14ac:dyDescent="0.2">
      <c r="A112" t="s">
        <v>94</v>
      </c>
      <c r="B112" t="s">
        <v>32</v>
      </c>
      <c r="C112" s="1">
        <v>44720</v>
      </c>
      <c r="D112" t="s">
        <v>150</v>
      </c>
      <c r="E112">
        <v>300</v>
      </c>
      <c r="F112" s="18">
        <v>300</v>
      </c>
      <c r="G112" t="s">
        <v>149</v>
      </c>
      <c r="H112" t="s">
        <v>10</v>
      </c>
      <c r="I112" t="s">
        <v>631</v>
      </c>
      <c r="J112" s="21">
        <f>Table1[[#This Row],[interactions]]/Table1[[#This Row],[Attendance]]</f>
        <v>1</v>
      </c>
    </row>
    <row r="113" spans="1:10" x14ac:dyDescent="0.2">
      <c r="A113" t="s">
        <v>94</v>
      </c>
      <c r="B113" t="s">
        <v>505</v>
      </c>
      <c r="C113" s="1">
        <v>45010</v>
      </c>
      <c r="D113" t="s">
        <v>94</v>
      </c>
      <c r="E113">
        <v>396</v>
      </c>
      <c r="F113" s="18">
        <v>396</v>
      </c>
      <c r="G113" t="s">
        <v>504</v>
      </c>
      <c r="H113" t="s">
        <v>452</v>
      </c>
      <c r="I113" t="s">
        <v>631</v>
      </c>
      <c r="J113" s="21">
        <f>Table1[[#This Row],[interactions]]/Table1[[#This Row],[Attendance]]</f>
        <v>1</v>
      </c>
    </row>
    <row r="114" spans="1:10" x14ac:dyDescent="0.2">
      <c r="A114" t="s">
        <v>94</v>
      </c>
      <c r="B114" t="s">
        <v>1871</v>
      </c>
      <c r="C114" s="1">
        <v>45805</v>
      </c>
      <c r="D114" t="s">
        <v>1870</v>
      </c>
      <c r="E114">
        <v>420</v>
      </c>
      <c r="F114" s="18">
        <v>420</v>
      </c>
      <c r="H114" t="s">
        <v>608</v>
      </c>
      <c r="I114" t="s">
        <v>631</v>
      </c>
      <c r="J114" s="21">
        <f>Table1[[#This Row],[interactions]]/Table1[[#This Row],[Attendance]]</f>
        <v>1</v>
      </c>
    </row>
    <row r="115" spans="1:10" x14ac:dyDescent="0.2">
      <c r="A115" t="s">
        <v>94</v>
      </c>
      <c r="B115" t="s">
        <v>918</v>
      </c>
      <c r="C115" s="1">
        <v>45527</v>
      </c>
      <c r="D115" t="s">
        <v>94</v>
      </c>
      <c r="E115">
        <v>637</v>
      </c>
      <c r="F115" s="18">
        <v>637</v>
      </c>
      <c r="G115" t="s">
        <v>917</v>
      </c>
      <c r="H115" t="s">
        <v>215</v>
      </c>
      <c r="I115" t="s">
        <v>610</v>
      </c>
      <c r="J115" s="21">
        <f>Table1[[#This Row],[interactions]]/Table1[[#This Row],[Attendance]]</f>
        <v>1</v>
      </c>
    </row>
    <row r="116" spans="1:10" x14ac:dyDescent="0.2">
      <c r="A116" t="s">
        <v>94</v>
      </c>
      <c r="B116" t="s">
        <v>1324</v>
      </c>
      <c r="C116" s="1">
        <v>45345</v>
      </c>
      <c r="D116" t="s">
        <v>115</v>
      </c>
      <c r="E116">
        <v>1000</v>
      </c>
      <c r="F116" s="18">
        <v>1000</v>
      </c>
      <c r="G116" t="s">
        <v>1323</v>
      </c>
      <c r="H116" t="s">
        <v>685</v>
      </c>
      <c r="J116" s="21">
        <f>Table1[[#This Row],[interactions]]/Table1[[#This Row],[Attendance]]</f>
        <v>1</v>
      </c>
    </row>
    <row r="117" spans="1:10" x14ac:dyDescent="0.2">
      <c r="A117" t="s">
        <v>94</v>
      </c>
      <c r="B117" t="s">
        <v>16</v>
      </c>
      <c r="C117" s="1">
        <v>44785</v>
      </c>
      <c r="E117">
        <v>1000</v>
      </c>
      <c r="F117" s="18">
        <v>1000</v>
      </c>
      <c r="H117" t="s">
        <v>86</v>
      </c>
      <c r="I117" t="s">
        <v>631</v>
      </c>
      <c r="J117" s="21">
        <f>Table1[[#This Row],[interactions]]/Table1[[#This Row],[Attendance]]</f>
        <v>1</v>
      </c>
    </row>
    <row r="118" spans="1:10" x14ac:dyDescent="0.2">
      <c r="A118" t="s">
        <v>94</v>
      </c>
      <c r="B118" t="s">
        <v>975</v>
      </c>
      <c r="C118" s="1">
        <v>45507</v>
      </c>
      <c r="D118" t="s">
        <v>94</v>
      </c>
      <c r="E118">
        <v>1850</v>
      </c>
      <c r="F118" s="18">
        <v>1850</v>
      </c>
      <c r="G118" t="s">
        <v>974</v>
      </c>
      <c r="H118" t="s">
        <v>973</v>
      </c>
      <c r="I118" t="s">
        <v>976</v>
      </c>
      <c r="J118" s="21">
        <f>Table1[[#This Row],[interactions]]/Table1[[#This Row],[Attendance]]</f>
        <v>1</v>
      </c>
    </row>
    <row r="119" spans="1:10" x14ac:dyDescent="0.2">
      <c r="A119" t="s">
        <v>94</v>
      </c>
      <c r="B119" t="s">
        <v>1165</v>
      </c>
      <c r="C119" s="1">
        <v>45787</v>
      </c>
      <c r="D119" t="s">
        <v>115</v>
      </c>
      <c r="E119">
        <v>2934</v>
      </c>
      <c r="F119" s="18">
        <v>2934</v>
      </c>
      <c r="H119" t="s">
        <v>685</v>
      </c>
      <c r="I119" t="s">
        <v>729</v>
      </c>
      <c r="J119" s="21">
        <f>Table1[[#This Row],[interactions]]/Table1[[#This Row],[Attendance]]</f>
        <v>1</v>
      </c>
    </row>
    <row r="120" spans="1:10" x14ac:dyDescent="0.2">
      <c r="A120" t="s">
        <v>721</v>
      </c>
      <c r="B120" t="s">
        <v>1483</v>
      </c>
      <c r="C120" s="1">
        <v>45905</v>
      </c>
      <c r="D120" t="s">
        <v>366</v>
      </c>
      <c r="E120">
        <v>2</v>
      </c>
      <c r="F120" s="18">
        <v>2</v>
      </c>
      <c r="G120" t="s">
        <v>1482</v>
      </c>
      <c r="H120" t="s">
        <v>621</v>
      </c>
      <c r="I120" t="s">
        <v>1484</v>
      </c>
      <c r="J120" s="21">
        <f>Table1[[#This Row],[interactions]]/Table1[[#This Row],[Attendance]]</f>
        <v>1</v>
      </c>
    </row>
    <row r="121" spans="1:10" x14ac:dyDescent="0.2">
      <c r="A121" t="s">
        <v>721</v>
      </c>
      <c r="B121" t="s">
        <v>1437</v>
      </c>
      <c r="C121" s="1">
        <v>45932</v>
      </c>
      <c r="D121" t="s">
        <v>366</v>
      </c>
      <c r="E121">
        <v>12</v>
      </c>
      <c r="F121" s="18">
        <v>12</v>
      </c>
      <c r="H121" t="s">
        <v>621</v>
      </c>
      <c r="I121" t="s">
        <v>675</v>
      </c>
      <c r="J121" s="21">
        <f>Table1[[#This Row],[interactions]]/Table1[[#This Row],[Attendance]]</f>
        <v>1</v>
      </c>
    </row>
    <row r="122" spans="1:10" x14ac:dyDescent="0.2">
      <c r="A122" t="s">
        <v>721</v>
      </c>
      <c r="B122" t="s">
        <v>1520</v>
      </c>
      <c r="C122" s="1">
        <v>45875</v>
      </c>
      <c r="D122" t="s">
        <v>366</v>
      </c>
      <c r="E122">
        <v>60</v>
      </c>
      <c r="F122" s="18">
        <v>60</v>
      </c>
      <c r="H122" t="s">
        <v>621</v>
      </c>
      <c r="I122" t="s">
        <v>623</v>
      </c>
      <c r="J122" s="21">
        <f>Table1[[#This Row],[interactions]]/Table1[[#This Row],[Attendance]]</f>
        <v>1</v>
      </c>
    </row>
    <row r="123" spans="1:10" x14ac:dyDescent="0.2">
      <c r="A123" t="s">
        <v>11</v>
      </c>
      <c r="B123" t="s">
        <v>1412</v>
      </c>
      <c r="C123" s="1">
        <v>45947</v>
      </c>
      <c r="D123" t="s">
        <v>366</v>
      </c>
      <c r="E123">
        <v>1</v>
      </c>
      <c r="F123" s="18">
        <v>1</v>
      </c>
      <c r="H123" t="s">
        <v>621</v>
      </c>
      <c r="I123" t="s">
        <v>642</v>
      </c>
      <c r="J123" s="21">
        <f>Table1[[#This Row],[interactions]]/Table1[[#This Row],[Attendance]]</f>
        <v>1</v>
      </c>
    </row>
    <row r="124" spans="1:10" x14ac:dyDescent="0.2">
      <c r="A124" t="s">
        <v>11</v>
      </c>
      <c r="B124" t="s">
        <v>1420</v>
      </c>
      <c r="C124" s="1">
        <v>45944</v>
      </c>
      <c r="D124" t="s">
        <v>366</v>
      </c>
      <c r="E124">
        <v>1</v>
      </c>
      <c r="F124" s="18">
        <v>1</v>
      </c>
      <c r="H124" t="s">
        <v>621</v>
      </c>
      <c r="I124" t="s">
        <v>625</v>
      </c>
      <c r="J124" s="21">
        <f>Table1[[#This Row],[interactions]]/Table1[[#This Row],[Attendance]]</f>
        <v>1</v>
      </c>
    </row>
    <row r="125" spans="1:10" x14ac:dyDescent="0.2">
      <c r="A125" t="s">
        <v>11</v>
      </c>
      <c r="B125" t="s">
        <v>728</v>
      </c>
      <c r="C125" s="1">
        <v>45588</v>
      </c>
      <c r="D125" t="s">
        <v>217</v>
      </c>
      <c r="E125">
        <v>1</v>
      </c>
      <c r="F125" s="18">
        <v>1</v>
      </c>
      <c r="H125" t="s">
        <v>215</v>
      </c>
      <c r="I125" t="s">
        <v>729</v>
      </c>
      <c r="J125" s="21">
        <f>Table1[[#This Row],[interactions]]/Table1[[#This Row],[Attendance]]</f>
        <v>1</v>
      </c>
    </row>
    <row r="126" spans="1:10" x14ac:dyDescent="0.2">
      <c r="A126" t="s">
        <v>11</v>
      </c>
      <c r="B126" t="s">
        <v>1660</v>
      </c>
      <c r="C126" s="1">
        <v>45672</v>
      </c>
      <c r="D126" t="s">
        <v>217</v>
      </c>
      <c r="E126">
        <v>5</v>
      </c>
      <c r="F126" s="18">
        <v>5</v>
      </c>
      <c r="G126" t="s">
        <v>1659</v>
      </c>
      <c r="H126" t="s">
        <v>1532</v>
      </c>
      <c r="I126" t="s">
        <v>617</v>
      </c>
      <c r="J126" s="21">
        <f>Table1[[#This Row],[interactions]]/Table1[[#This Row],[Attendance]]</f>
        <v>1</v>
      </c>
    </row>
    <row r="127" spans="1:10" x14ac:dyDescent="0.2">
      <c r="A127" t="s">
        <v>11</v>
      </c>
      <c r="B127" t="s">
        <v>742</v>
      </c>
      <c r="C127" s="1">
        <v>45582</v>
      </c>
      <c r="D127" t="s">
        <v>217</v>
      </c>
      <c r="E127">
        <v>5</v>
      </c>
      <c r="F127" s="18">
        <v>5</v>
      </c>
      <c r="G127" t="s">
        <v>741</v>
      </c>
      <c r="H127" t="s">
        <v>215</v>
      </c>
      <c r="I127" t="s">
        <v>603</v>
      </c>
      <c r="J127" s="21">
        <f>Table1[[#This Row],[interactions]]/Table1[[#This Row],[Attendance]]</f>
        <v>1</v>
      </c>
    </row>
    <row r="128" spans="1:10" x14ac:dyDescent="0.2">
      <c r="A128" t="s">
        <v>11</v>
      </c>
      <c r="B128" t="s">
        <v>1176</v>
      </c>
      <c r="C128" s="1">
        <v>45421</v>
      </c>
      <c r="D128" t="s">
        <v>217</v>
      </c>
      <c r="E128">
        <v>5</v>
      </c>
      <c r="F128" s="18">
        <v>5</v>
      </c>
      <c r="G128" t="s">
        <v>1175</v>
      </c>
      <c r="H128" t="s">
        <v>1139</v>
      </c>
      <c r="J128" s="21">
        <f>Table1[[#This Row],[interactions]]/Table1[[#This Row],[Attendance]]</f>
        <v>1</v>
      </c>
    </row>
    <row r="129" spans="1:10" x14ac:dyDescent="0.2">
      <c r="A129" t="s">
        <v>11</v>
      </c>
      <c r="B129" t="s">
        <v>259</v>
      </c>
      <c r="C129" s="1">
        <v>45244</v>
      </c>
      <c r="D129" t="s">
        <v>217</v>
      </c>
      <c r="E129">
        <v>5</v>
      </c>
      <c r="F129" s="18">
        <v>5</v>
      </c>
      <c r="G129" t="s">
        <v>258</v>
      </c>
      <c r="H129" t="s">
        <v>229</v>
      </c>
      <c r="I129" t="s">
        <v>631</v>
      </c>
      <c r="J129" s="21">
        <f>Table1[[#This Row],[interactions]]/Table1[[#This Row],[Attendance]]</f>
        <v>1</v>
      </c>
    </row>
    <row r="130" spans="1:10" x14ac:dyDescent="0.2">
      <c r="A130" t="s">
        <v>11</v>
      </c>
      <c r="B130" t="s">
        <v>286</v>
      </c>
      <c r="C130" s="1">
        <v>45223</v>
      </c>
      <c r="D130" t="s">
        <v>217</v>
      </c>
      <c r="E130">
        <v>5</v>
      </c>
      <c r="F130" s="18">
        <v>5</v>
      </c>
      <c r="G130" t="s">
        <v>285</v>
      </c>
      <c r="H130" t="s">
        <v>229</v>
      </c>
      <c r="I130" t="s">
        <v>631</v>
      </c>
      <c r="J130" s="21">
        <f>Table1[[#This Row],[interactions]]/Table1[[#This Row],[Attendance]]</f>
        <v>1</v>
      </c>
    </row>
    <row r="131" spans="1:10" x14ac:dyDescent="0.2">
      <c r="A131" t="s">
        <v>11</v>
      </c>
      <c r="B131" t="s">
        <v>1562</v>
      </c>
      <c r="C131" s="1">
        <v>45798</v>
      </c>
      <c r="D131" t="s">
        <v>366</v>
      </c>
      <c r="E131">
        <v>6</v>
      </c>
      <c r="F131" s="18">
        <v>6</v>
      </c>
      <c r="H131" t="s">
        <v>621</v>
      </c>
      <c r="I131" t="s">
        <v>675</v>
      </c>
      <c r="J131" s="21">
        <f>Table1[[#This Row],[interactions]]/Table1[[#This Row],[Attendance]]</f>
        <v>1</v>
      </c>
    </row>
    <row r="132" spans="1:10" x14ac:dyDescent="0.2">
      <c r="A132" t="s">
        <v>11</v>
      </c>
      <c r="B132" t="s">
        <v>616</v>
      </c>
      <c r="C132" s="1">
        <v>45644</v>
      </c>
      <c r="D132" t="s">
        <v>217</v>
      </c>
      <c r="E132">
        <v>6</v>
      </c>
      <c r="F132" s="18">
        <v>6</v>
      </c>
      <c r="G132" t="s">
        <v>615</v>
      </c>
      <c r="H132" t="s">
        <v>215</v>
      </c>
      <c r="I132" t="s">
        <v>617</v>
      </c>
      <c r="J132" s="21">
        <f>Table1[[#This Row],[interactions]]/Table1[[#This Row],[Attendance]]</f>
        <v>1</v>
      </c>
    </row>
    <row r="133" spans="1:10" x14ac:dyDescent="0.2">
      <c r="A133" t="s">
        <v>11</v>
      </c>
      <c r="B133" t="s">
        <v>653</v>
      </c>
      <c r="C133" s="1">
        <v>45448</v>
      </c>
      <c r="D133" t="s">
        <v>366</v>
      </c>
      <c r="E133">
        <v>6</v>
      </c>
      <c r="F133" s="18">
        <v>6</v>
      </c>
      <c r="G133" t="s">
        <v>1130</v>
      </c>
      <c r="H133" t="s">
        <v>621</v>
      </c>
      <c r="J133" s="21">
        <f>Table1[[#This Row],[interactions]]/Table1[[#This Row],[Attendance]]</f>
        <v>1</v>
      </c>
    </row>
    <row r="134" spans="1:10" x14ac:dyDescent="0.2">
      <c r="A134" t="s">
        <v>11</v>
      </c>
      <c r="B134" t="s">
        <v>314</v>
      </c>
      <c r="C134" s="1">
        <v>45575</v>
      </c>
      <c r="D134" t="s">
        <v>217</v>
      </c>
      <c r="E134">
        <v>7</v>
      </c>
      <c r="F134" s="18">
        <v>7</v>
      </c>
      <c r="G134" t="s">
        <v>313</v>
      </c>
      <c r="H134" t="s">
        <v>229</v>
      </c>
      <c r="I134" t="s">
        <v>631</v>
      </c>
      <c r="J134" s="21">
        <f>Table1[[#This Row],[interactions]]/Table1[[#This Row],[Attendance]]</f>
        <v>1</v>
      </c>
    </row>
    <row r="135" spans="1:10" x14ac:dyDescent="0.2">
      <c r="A135" t="s">
        <v>11</v>
      </c>
      <c r="B135" t="s">
        <v>671</v>
      </c>
      <c r="C135" s="1">
        <v>45952</v>
      </c>
      <c r="D135" t="s">
        <v>366</v>
      </c>
      <c r="E135">
        <v>8</v>
      </c>
      <c r="F135" s="18">
        <v>8</v>
      </c>
      <c r="H135" t="s">
        <v>1395</v>
      </c>
      <c r="I135" t="s">
        <v>672</v>
      </c>
      <c r="J135" s="21">
        <f>Table1[[#This Row],[interactions]]/Table1[[#This Row],[Attendance]]</f>
        <v>1</v>
      </c>
    </row>
    <row r="136" spans="1:10" x14ac:dyDescent="0.2">
      <c r="A136" t="s">
        <v>11</v>
      </c>
      <c r="B136" t="s">
        <v>1217</v>
      </c>
      <c r="C136" s="1">
        <v>45680</v>
      </c>
      <c r="D136" t="s">
        <v>217</v>
      </c>
      <c r="E136">
        <v>8</v>
      </c>
      <c r="F136" s="18">
        <v>8</v>
      </c>
      <c r="H136" t="s">
        <v>1579</v>
      </c>
      <c r="I136" t="s">
        <v>593</v>
      </c>
      <c r="J136" s="21">
        <f>Table1[[#This Row],[interactions]]/Table1[[#This Row],[Attendance]]</f>
        <v>1</v>
      </c>
    </row>
    <row r="137" spans="1:10" x14ac:dyDescent="0.2">
      <c r="A137" t="s">
        <v>11</v>
      </c>
      <c r="B137" t="s">
        <v>765</v>
      </c>
      <c r="C137" s="1">
        <v>45573</v>
      </c>
      <c r="D137" t="s">
        <v>217</v>
      </c>
      <c r="E137">
        <v>8</v>
      </c>
      <c r="F137" s="18">
        <v>8</v>
      </c>
      <c r="G137" t="s">
        <v>764</v>
      </c>
      <c r="I137" t="s">
        <v>766</v>
      </c>
      <c r="J137" s="21">
        <f>Table1[[#This Row],[interactions]]/Table1[[#This Row],[Attendance]]</f>
        <v>1</v>
      </c>
    </row>
    <row r="138" spans="1:10" x14ac:dyDescent="0.2">
      <c r="A138" t="s">
        <v>11</v>
      </c>
      <c r="B138" t="s">
        <v>1596</v>
      </c>
      <c r="C138" s="1">
        <v>45741</v>
      </c>
      <c r="D138" t="s">
        <v>217</v>
      </c>
      <c r="E138">
        <v>10</v>
      </c>
      <c r="F138" s="18">
        <v>10</v>
      </c>
      <c r="H138" t="s">
        <v>649</v>
      </c>
      <c r="I138" t="s">
        <v>603</v>
      </c>
      <c r="J138" s="21">
        <f>Table1[[#This Row],[interactions]]/Table1[[#This Row],[Attendance]]</f>
        <v>1</v>
      </c>
    </row>
    <row r="139" spans="1:10" x14ac:dyDescent="0.2">
      <c r="A139" t="s">
        <v>11</v>
      </c>
      <c r="B139" t="s">
        <v>1605</v>
      </c>
      <c r="C139" s="1">
        <v>45734</v>
      </c>
      <c r="D139" t="s">
        <v>366</v>
      </c>
      <c r="E139">
        <v>10</v>
      </c>
      <c r="F139" s="18">
        <v>10</v>
      </c>
      <c r="H139" t="s">
        <v>621</v>
      </c>
      <c r="I139" t="s">
        <v>625</v>
      </c>
      <c r="J139" s="21">
        <f>Table1[[#This Row],[interactions]]/Table1[[#This Row],[Attendance]]</f>
        <v>1</v>
      </c>
    </row>
    <row r="140" spans="1:10" x14ac:dyDescent="0.2">
      <c r="A140" t="s">
        <v>11</v>
      </c>
      <c r="B140" t="s">
        <v>1614</v>
      </c>
      <c r="C140" s="1">
        <v>45729</v>
      </c>
      <c r="D140" t="s">
        <v>217</v>
      </c>
      <c r="E140">
        <v>10</v>
      </c>
      <c r="F140" s="18">
        <v>10</v>
      </c>
      <c r="G140" t="s">
        <v>1613</v>
      </c>
      <c r="H140" t="s">
        <v>649</v>
      </c>
      <c r="I140" t="s">
        <v>1540</v>
      </c>
      <c r="J140" s="21">
        <f>Table1[[#This Row],[interactions]]/Table1[[#This Row],[Attendance]]</f>
        <v>1</v>
      </c>
    </row>
    <row r="141" spans="1:10" x14ac:dyDescent="0.2">
      <c r="A141" t="s">
        <v>11</v>
      </c>
      <c r="B141" t="s">
        <v>1627</v>
      </c>
      <c r="C141" s="1">
        <v>45715</v>
      </c>
      <c r="D141" t="s">
        <v>217</v>
      </c>
      <c r="E141">
        <v>10</v>
      </c>
      <c r="F141" s="18">
        <v>10</v>
      </c>
      <c r="H141" t="s">
        <v>608</v>
      </c>
      <c r="I141" t="s">
        <v>679</v>
      </c>
      <c r="J141" s="21">
        <f>Table1[[#This Row],[interactions]]/Table1[[#This Row],[Attendance]]</f>
        <v>1</v>
      </c>
    </row>
    <row r="142" spans="1:10" x14ac:dyDescent="0.2">
      <c r="A142" t="s">
        <v>11</v>
      </c>
      <c r="B142" t="s">
        <v>671</v>
      </c>
      <c r="C142" s="1">
        <v>45616</v>
      </c>
      <c r="D142" t="s">
        <v>366</v>
      </c>
      <c r="E142">
        <v>10</v>
      </c>
      <c r="F142" s="18">
        <v>10</v>
      </c>
      <c r="H142" t="s">
        <v>608</v>
      </c>
      <c r="I142" t="s">
        <v>672</v>
      </c>
      <c r="J142" s="21">
        <f>Table1[[#This Row],[interactions]]/Table1[[#This Row],[Attendance]]</f>
        <v>1</v>
      </c>
    </row>
    <row r="143" spans="1:10" x14ac:dyDescent="0.2">
      <c r="A143" t="s">
        <v>11</v>
      </c>
      <c r="B143" t="s">
        <v>602</v>
      </c>
      <c r="C143" s="1">
        <v>45589</v>
      </c>
      <c r="D143" t="s">
        <v>366</v>
      </c>
      <c r="E143">
        <v>10</v>
      </c>
      <c r="F143" s="18">
        <v>10</v>
      </c>
      <c r="G143" t="s">
        <v>601</v>
      </c>
      <c r="H143" t="s">
        <v>215</v>
      </c>
      <c r="I143" t="s">
        <v>603</v>
      </c>
      <c r="J143" s="21">
        <f>Table1[[#This Row],[interactions]]/Table1[[#This Row],[Attendance]]</f>
        <v>1</v>
      </c>
    </row>
    <row r="144" spans="1:10" x14ac:dyDescent="0.2">
      <c r="A144" t="s">
        <v>11</v>
      </c>
      <c r="B144" t="s">
        <v>769</v>
      </c>
      <c r="C144" s="1">
        <v>45573</v>
      </c>
      <c r="D144" t="s">
        <v>217</v>
      </c>
      <c r="E144">
        <v>10</v>
      </c>
      <c r="F144" s="18">
        <v>10</v>
      </c>
      <c r="G144" t="s">
        <v>768</v>
      </c>
      <c r="H144" t="s">
        <v>215</v>
      </c>
      <c r="I144" t="s">
        <v>657</v>
      </c>
      <c r="J144" s="21">
        <f>Table1[[#This Row],[interactions]]/Table1[[#This Row],[Attendance]]</f>
        <v>1</v>
      </c>
    </row>
    <row r="145" spans="1:10" x14ac:dyDescent="0.2">
      <c r="A145" t="s">
        <v>11</v>
      </c>
      <c r="B145" t="s">
        <v>812</v>
      </c>
      <c r="C145" s="1">
        <v>45560</v>
      </c>
      <c r="D145" t="s">
        <v>811</v>
      </c>
      <c r="E145">
        <v>10</v>
      </c>
      <c r="F145" s="18">
        <v>10</v>
      </c>
      <c r="G145" t="s">
        <v>810</v>
      </c>
      <c r="H145" t="s">
        <v>215</v>
      </c>
      <c r="I145" t="s">
        <v>657</v>
      </c>
      <c r="J145" s="21">
        <f>Table1[[#This Row],[interactions]]/Table1[[#This Row],[Attendance]]</f>
        <v>1</v>
      </c>
    </row>
    <row r="146" spans="1:10" x14ac:dyDescent="0.2">
      <c r="A146" t="s">
        <v>11</v>
      </c>
      <c r="B146" t="s">
        <v>1156</v>
      </c>
      <c r="C146" s="1">
        <v>45434</v>
      </c>
      <c r="D146" t="s">
        <v>237</v>
      </c>
      <c r="E146">
        <v>10</v>
      </c>
      <c r="F146" s="18">
        <v>10</v>
      </c>
      <c r="G146" t="s">
        <v>1155</v>
      </c>
      <c r="H146" t="s">
        <v>621</v>
      </c>
      <c r="J146" s="21">
        <f>Table1[[#This Row],[interactions]]/Table1[[#This Row],[Attendance]]</f>
        <v>1</v>
      </c>
    </row>
    <row r="147" spans="1:10" x14ac:dyDescent="0.2">
      <c r="A147" t="s">
        <v>11</v>
      </c>
      <c r="B147" t="s">
        <v>1285</v>
      </c>
      <c r="C147" s="1">
        <v>45373</v>
      </c>
      <c r="D147" t="s">
        <v>217</v>
      </c>
      <c r="E147">
        <v>10</v>
      </c>
      <c r="F147" s="18">
        <v>10</v>
      </c>
      <c r="G147" t="s">
        <v>1284</v>
      </c>
      <c r="H147" t="s">
        <v>215</v>
      </c>
      <c r="J147" s="21">
        <f>Table1[[#This Row],[interactions]]/Table1[[#This Row],[Attendance]]</f>
        <v>1</v>
      </c>
    </row>
    <row r="148" spans="1:10" x14ac:dyDescent="0.2">
      <c r="A148" t="s">
        <v>11</v>
      </c>
      <c r="B148" t="s">
        <v>1333</v>
      </c>
      <c r="C148" s="1">
        <v>45307</v>
      </c>
      <c r="D148" t="s">
        <v>366</v>
      </c>
      <c r="E148">
        <v>10</v>
      </c>
      <c r="F148" s="18">
        <v>10</v>
      </c>
      <c r="G148" t="s">
        <v>1360</v>
      </c>
      <c r="H148" t="s">
        <v>215</v>
      </c>
      <c r="J148" s="21">
        <f>Table1[[#This Row],[interactions]]/Table1[[#This Row],[Attendance]]</f>
        <v>1</v>
      </c>
    </row>
    <row r="149" spans="1:10" x14ac:dyDescent="0.2">
      <c r="A149" t="s">
        <v>11</v>
      </c>
      <c r="B149" t="s">
        <v>254</v>
      </c>
      <c r="C149" s="1">
        <v>45258</v>
      </c>
      <c r="D149" t="s">
        <v>217</v>
      </c>
      <c r="E149">
        <v>10</v>
      </c>
      <c r="F149" s="18">
        <v>10</v>
      </c>
      <c r="G149" t="s">
        <v>253</v>
      </c>
      <c r="H149" t="s">
        <v>215</v>
      </c>
      <c r="I149" t="s">
        <v>631</v>
      </c>
      <c r="J149" s="21">
        <f>Table1[[#This Row],[interactions]]/Table1[[#This Row],[Attendance]]</f>
        <v>1</v>
      </c>
    </row>
    <row r="150" spans="1:10" x14ac:dyDescent="0.2">
      <c r="A150" t="s">
        <v>11</v>
      </c>
      <c r="B150" t="s">
        <v>324</v>
      </c>
      <c r="C150" s="1">
        <v>45202</v>
      </c>
      <c r="D150" t="s">
        <v>217</v>
      </c>
      <c r="E150">
        <v>10</v>
      </c>
      <c r="F150" s="18">
        <v>10</v>
      </c>
      <c r="G150" t="s">
        <v>323</v>
      </c>
      <c r="H150" t="s">
        <v>215</v>
      </c>
      <c r="I150" t="s">
        <v>631</v>
      </c>
      <c r="J150" s="21">
        <f>Table1[[#This Row],[interactions]]/Table1[[#This Row],[Attendance]]</f>
        <v>1</v>
      </c>
    </row>
    <row r="151" spans="1:10" x14ac:dyDescent="0.2">
      <c r="A151" t="s">
        <v>11</v>
      </c>
      <c r="B151" t="s">
        <v>496</v>
      </c>
      <c r="C151" s="1">
        <v>45023</v>
      </c>
      <c r="D151" t="s">
        <v>366</v>
      </c>
      <c r="E151">
        <v>10</v>
      </c>
      <c r="F151" s="18">
        <v>10</v>
      </c>
      <c r="G151" t="s">
        <v>495</v>
      </c>
      <c r="H151" t="s">
        <v>490</v>
      </c>
      <c r="I151" t="s">
        <v>631</v>
      </c>
      <c r="J151" s="21">
        <f>Table1[[#This Row],[interactions]]/Table1[[#This Row],[Attendance]]</f>
        <v>1</v>
      </c>
    </row>
    <row r="152" spans="1:10" x14ac:dyDescent="0.2">
      <c r="A152" t="s">
        <v>11</v>
      </c>
      <c r="B152" t="s">
        <v>1400</v>
      </c>
      <c r="C152" s="1">
        <v>45952</v>
      </c>
      <c r="D152" t="s">
        <v>366</v>
      </c>
      <c r="E152">
        <v>11</v>
      </c>
      <c r="F152" s="18">
        <v>11</v>
      </c>
      <c r="H152" t="s">
        <v>1395</v>
      </c>
      <c r="I152" t="s">
        <v>735</v>
      </c>
      <c r="J152" s="21">
        <f>Table1[[#This Row],[interactions]]/Table1[[#This Row],[Attendance]]</f>
        <v>1</v>
      </c>
    </row>
    <row r="153" spans="1:10" x14ac:dyDescent="0.2">
      <c r="A153" t="s">
        <v>11</v>
      </c>
      <c r="B153" t="s">
        <v>1393</v>
      </c>
      <c r="C153" s="1">
        <v>45954</v>
      </c>
      <c r="D153" t="s">
        <v>366</v>
      </c>
      <c r="E153">
        <v>12</v>
      </c>
      <c r="F153" s="18">
        <v>12</v>
      </c>
      <c r="H153" t="s">
        <v>1395</v>
      </c>
      <c r="I153" t="s">
        <v>735</v>
      </c>
      <c r="J153" s="21">
        <f>Table1[[#This Row],[interactions]]/Table1[[#This Row],[Attendance]]</f>
        <v>1</v>
      </c>
    </row>
    <row r="154" spans="1:10" x14ac:dyDescent="0.2">
      <c r="A154" t="s">
        <v>11</v>
      </c>
      <c r="B154" t="s">
        <v>796</v>
      </c>
      <c r="C154" s="1">
        <v>45562</v>
      </c>
      <c r="D154" t="s">
        <v>366</v>
      </c>
      <c r="E154">
        <v>12</v>
      </c>
      <c r="F154" s="18">
        <v>12</v>
      </c>
      <c r="G154" t="s">
        <v>795</v>
      </c>
      <c r="H154" t="s">
        <v>621</v>
      </c>
      <c r="I154" t="s">
        <v>648</v>
      </c>
      <c r="J154" s="21">
        <f>Table1[[#This Row],[interactions]]/Table1[[#This Row],[Attendance]]</f>
        <v>1</v>
      </c>
    </row>
    <row r="155" spans="1:10" x14ac:dyDescent="0.2">
      <c r="A155" t="s">
        <v>11</v>
      </c>
      <c r="B155" t="s">
        <v>713</v>
      </c>
      <c r="C155" s="1">
        <v>45442</v>
      </c>
      <c r="D155" t="s">
        <v>217</v>
      </c>
      <c r="E155">
        <v>12</v>
      </c>
      <c r="F155" s="18">
        <v>12</v>
      </c>
      <c r="G155" t="s">
        <v>1138</v>
      </c>
      <c r="H155" t="s">
        <v>1093</v>
      </c>
      <c r="J155" s="21">
        <f>Table1[[#This Row],[interactions]]/Table1[[#This Row],[Attendance]]</f>
        <v>1</v>
      </c>
    </row>
    <row r="156" spans="1:10" x14ac:dyDescent="0.2">
      <c r="A156" t="s">
        <v>11</v>
      </c>
      <c r="B156" t="s">
        <v>1314</v>
      </c>
      <c r="C156" s="1">
        <v>45359</v>
      </c>
      <c r="D156" t="s">
        <v>217</v>
      </c>
      <c r="E156">
        <v>12</v>
      </c>
      <c r="F156" s="18">
        <v>12</v>
      </c>
      <c r="G156" t="s">
        <v>1313</v>
      </c>
      <c r="H156" t="s">
        <v>1208</v>
      </c>
      <c r="J156" s="21">
        <f>Table1[[#This Row],[interactions]]/Table1[[#This Row],[Attendance]]</f>
        <v>1</v>
      </c>
    </row>
    <row r="157" spans="1:10" x14ac:dyDescent="0.2">
      <c r="A157" t="s">
        <v>11</v>
      </c>
      <c r="B157" t="s">
        <v>1337</v>
      </c>
      <c r="C157" s="1">
        <v>45336</v>
      </c>
      <c r="D157" t="s">
        <v>366</v>
      </c>
      <c r="E157">
        <v>12</v>
      </c>
      <c r="F157" s="18">
        <v>12</v>
      </c>
      <c r="G157" t="s">
        <v>1336</v>
      </c>
      <c r="H157" t="s">
        <v>215</v>
      </c>
      <c r="J157" s="21">
        <f>Table1[[#This Row],[interactions]]/Table1[[#This Row],[Attendance]]</f>
        <v>1</v>
      </c>
    </row>
    <row r="158" spans="1:10" x14ac:dyDescent="0.2">
      <c r="A158" t="s">
        <v>11</v>
      </c>
      <c r="B158" t="s">
        <v>362</v>
      </c>
      <c r="C158" s="1">
        <v>45098</v>
      </c>
      <c r="D158" t="s">
        <v>217</v>
      </c>
      <c r="E158">
        <v>12</v>
      </c>
      <c r="F158" s="18">
        <v>12</v>
      </c>
      <c r="G158" t="s">
        <v>437</v>
      </c>
      <c r="H158" t="s">
        <v>215</v>
      </c>
      <c r="I158" t="s">
        <v>631</v>
      </c>
      <c r="J158" s="21">
        <f>Table1[[#This Row],[interactions]]/Table1[[#This Row],[Attendance]]</f>
        <v>1</v>
      </c>
    </row>
    <row r="159" spans="1:10" x14ac:dyDescent="0.2">
      <c r="A159" t="s">
        <v>11</v>
      </c>
      <c r="B159" t="s">
        <v>823</v>
      </c>
      <c r="C159" s="1">
        <v>45559</v>
      </c>
      <c r="D159" t="s">
        <v>822</v>
      </c>
      <c r="E159">
        <v>13</v>
      </c>
      <c r="F159" s="18">
        <v>13</v>
      </c>
      <c r="G159" t="s">
        <v>821</v>
      </c>
      <c r="H159" t="s">
        <v>490</v>
      </c>
      <c r="I159" t="s">
        <v>657</v>
      </c>
      <c r="J159" s="21">
        <f>Table1[[#This Row],[interactions]]/Table1[[#This Row],[Attendance]]</f>
        <v>1</v>
      </c>
    </row>
    <row r="160" spans="1:10" x14ac:dyDescent="0.2">
      <c r="A160" t="s">
        <v>11</v>
      </c>
      <c r="B160" t="s">
        <v>926</v>
      </c>
      <c r="C160" s="1">
        <v>45525</v>
      </c>
      <c r="D160" t="s">
        <v>217</v>
      </c>
      <c r="E160">
        <v>13</v>
      </c>
      <c r="F160" s="18">
        <v>13</v>
      </c>
      <c r="G160" t="s">
        <v>925</v>
      </c>
      <c r="H160" t="s">
        <v>608</v>
      </c>
      <c r="I160" t="s">
        <v>927</v>
      </c>
      <c r="J160" s="21">
        <f>Table1[[#This Row],[interactions]]/Table1[[#This Row],[Attendance]]</f>
        <v>1</v>
      </c>
    </row>
    <row r="161" spans="1:10" x14ac:dyDescent="0.2">
      <c r="A161" t="s">
        <v>11</v>
      </c>
      <c r="B161" t="s">
        <v>462</v>
      </c>
      <c r="C161" s="1">
        <v>45070</v>
      </c>
      <c r="D161" t="s">
        <v>366</v>
      </c>
      <c r="E161">
        <v>13</v>
      </c>
      <c r="F161" s="18">
        <v>13</v>
      </c>
      <c r="G161" t="s">
        <v>461</v>
      </c>
      <c r="H161" t="s">
        <v>215</v>
      </c>
      <c r="I161" t="s">
        <v>631</v>
      </c>
      <c r="J161" s="21">
        <f>Table1[[#This Row],[interactions]]/Table1[[#This Row],[Attendance]]</f>
        <v>1</v>
      </c>
    </row>
    <row r="162" spans="1:10" x14ac:dyDescent="0.2">
      <c r="A162" t="s">
        <v>11</v>
      </c>
      <c r="B162" t="s">
        <v>1045</v>
      </c>
      <c r="C162" s="1">
        <v>45483</v>
      </c>
      <c r="D162" t="s">
        <v>237</v>
      </c>
      <c r="E162">
        <v>14</v>
      </c>
      <c r="F162" s="18">
        <v>14</v>
      </c>
      <c r="G162" t="s">
        <v>1044</v>
      </c>
      <c r="H162" t="s">
        <v>612</v>
      </c>
      <c r="I162" t="s">
        <v>1046</v>
      </c>
      <c r="J162" s="21">
        <f>Table1[[#This Row],[interactions]]/Table1[[#This Row],[Attendance]]</f>
        <v>1</v>
      </c>
    </row>
    <row r="163" spans="1:10" x14ac:dyDescent="0.2">
      <c r="A163" t="s">
        <v>11</v>
      </c>
      <c r="B163" t="s">
        <v>1184</v>
      </c>
      <c r="C163" s="1">
        <v>45419</v>
      </c>
      <c r="D163" t="s">
        <v>581</v>
      </c>
      <c r="E163">
        <v>14</v>
      </c>
      <c r="F163" s="18">
        <v>14</v>
      </c>
      <c r="G163" t="s">
        <v>1183</v>
      </c>
      <c r="H163" t="s">
        <v>612</v>
      </c>
      <c r="J163" s="21">
        <f>Table1[[#This Row],[interactions]]/Table1[[#This Row],[Attendance]]</f>
        <v>1</v>
      </c>
    </row>
    <row r="164" spans="1:10" x14ac:dyDescent="0.2">
      <c r="A164" t="s">
        <v>11</v>
      </c>
      <c r="B164" t="s">
        <v>1518</v>
      </c>
      <c r="C164" s="1">
        <v>45876</v>
      </c>
      <c r="D164" t="s">
        <v>217</v>
      </c>
      <c r="E164">
        <v>15</v>
      </c>
      <c r="F164" s="18">
        <v>15</v>
      </c>
      <c r="H164" t="s">
        <v>608</v>
      </c>
      <c r="I164" t="s">
        <v>679</v>
      </c>
      <c r="J164" s="21">
        <f>Table1[[#This Row],[interactions]]/Table1[[#This Row],[Attendance]]</f>
        <v>1</v>
      </c>
    </row>
    <row r="165" spans="1:10" x14ac:dyDescent="0.2">
      <c r="A165" t="s">
        <v>11</v>
      </c>
      <c r="B165" t="s">
        <v>653</v>
      </c>
      <c r="C165" s="1">
        <v>45814</v>
      </c>
      <c r="D165" t="s">
        <v>217</v>
      </c>
      <c r="E165">
        <v>15</v>
      </c>
      <c r="F165" s="18">
        <v>15</v>
      </c>
      <c r="H165" t="s">
        <v>621</v>
      </c>
      <c r="I165" t="s">
        <v>648</v>
      </c>
      <c r="J165" s="21">
        <f>Table1[[#This Row],[interactions]]/Table1[[#This Row],[Attendance]]</f>
        <v>1</v>
      </c>
    </row>
    <row r="166" spans="1:10" x14ac:dyDescent="0.2">
      <c r="A166" t="s">
        <v>11</v>
      </c>
      <c r="B166" t="s">
        <v>1618</v>
      </c>
      <c r="C166" s="1">
        <v>45723</v>
      </c>
      <c r="D166" t="s">
        <v>217</v>
      </c>
      <c r="E166">
        <v>15</v>
      </c>
      <c r="F166" s="18">
        <v>15</v>
      </c>
      <c r="H166" t="s">
        <v>649</v>
      </c>
      <c r="I166" t="s">
        <v>603</v>
      </c>
      <c r="J166" s="21">
        <f>Table1[[#This Row],[interactions]]/Table1[[#This Row],[Attendance]]</f>
        <v>1</v>
      </c>
    </row>
    <row r="167" spans="1:10" x14ac:dyDescent="0.2">
      <c r="A167" t="s">
        <v>11</v>
      </c>
      <c r="B167" t="s">
        <v>880</v>
      </c>
      <c r="C167" s="1">
        <v>45544</v>
      </c>
      <c r="D167" t="s">
        <v>217</v>
      </c>
      <c r="E167">
        <v>15</v>
      </c>
      <c r="F167" s="18">
        <v>15</v>
      </c>
      <c r="G167" t="s">
        <v>879</v>
      </c>
      <c r="H167" t="s">
        <v>797</v>
      </c>
      <c r="I167" t="s">
        <v>766</v>
      </c>
      <c r="J167" s="21">
        <f>Table1[[#This Row],[interactions]]/Table1[[#This Row],[Attendance]]</f>
        <v>1</v>
      </c>
    </row>
    <row r="168" spans="1:10" x14ac:dyDescent="0.2">
      <c r="A168" t="s">
        <v>11</v>
      </c>
      <c r="B168" t="s">
        <v>1144</v>
      </c>
      <c r="C168" s="1">
        <v>45441</v>
      </c>
      <c r="D168" t="s">
        <v>581</v>
      </c>
      <c r="E168">
        <v>15</v>
      </c>
      <c r="F168" s="18">
        <v>15</v>
      </c>
      <c r="G168" t="s">
        <v>1143</v>
      </c>
      <c r="H168" t="s">
        <v>608</v>
      </c>
      <c r="J168" s="21">
        <f>Table1[[#This Row],[interactions]]/Table1[[#This Row],[Attendance]]</f>
        <v>1</v>
      </c>
    </row>
    <row r="169" spans="1:10" x14ac:dyDescent="0.2">
      <c r="A169" t="s">
        <v>11</v>
      </c>
      <c r="B169" t="s">
        <v>60</v>
      </c>
      <c r="C169" s="1">
        <v>45435</v>
      </c>
      <c r="D169" t="s">
        <v>822</v>
      </c>
      <c r="E169">
        <v>15</v>
      </c>
      <c r="F169" s="18">
        <v>15</v>
      </c>
      <c r="G169" t="s">
        <v>1154</v>
      </c>
      <c r="H169" t="s">
        <v>1153</v>
      </c>
      <c r="J169" s="21">
        <f>Table1[[#This Row],[interactions]]/Table1[[#This Row],[Attendance]]</f>
        <v>1</v>
      </c>
    </row>
    <row r="170" spans="1:10" x14ac:dyDescent="0.2">
      <c r="A170" t="s">
        <v>11</v>
      </c>
      <c r="B170" t="s">
        <v>1010</v>
      </c>
      <c r="C170" s="1">
        <v>45421</v>
      </c>
      <c r="D170" t="s">
        <v>366</v>
      </c>
      <c r="E170">
        <v>15</v>
      </c>
      <c r="F170" s="18">
        <v>15</v>
      </c>
      <c r="G170" t="s">
        <v>1174</v>
      </c>
      <c r="H170" t="s">
        <v>621</v>
      </c>
      <c r="J170" s="21">
        <f>Table1[[#This Row],[interactions]]/Table1[[#This Row],[Attendance]]</f>
        <v>1</v>
      </c>
    </row>
    <row r="171" spans="1:10" x14ac:dyDescent="0.2">
      <c r="A171" t="s">
        <v>11</v>
      </c>
      <c r="B171" t="s">
        <v>1197</v>
      </c>
      <c r="C171" s="1">
        <v>45413</v>
      </c>
      <c r="D171" t="s">
        <v>217</v>
      </c>
      <c r="E171">
        <v>15</v>
      </c>
      <c r="F171" s="18">
        <v>15</v>
      </c>
      <c r="G171" t="s">
        <v>1196</v>
      </c>
      <c r="H171" t="s">
        <v>1093</v>
      </c>
      <c r="J171" s="21">
        <f>Table1[[#This Row],[interactions]]/Table1[[#This Row],[Attendance]]</f>
        <v>1</v>
      </c>
    </row>
    <row r="172" spans="1:10" x14ac:dyDescent="0.2">
      <c r="A172" t="s">
        <v>11</v>
      </c>
      <c r="B172" t="s">
        <v>1281</v>
      </c>
      <c r="C172" s="1">
        <v>45377</v>
      </c>
      <c r="D172" t="s">
        <v>217</v>
      </c>
      <c r="E172">
        <v>15</v>
      </c>
      <c r="F172" s="18">
        <v>15</v>
      </c>
      <c r="G172" t="s">
        <v>1280</v>
      </c>
      <c r="H172" t="s">
        <v>490</v>
      </c>
      <c r="J172" s="21">
        <f>Table1[[#This Row],[interactions]]/Table1[[#This Row],[Attendance]]</f>
        <v>1</v>
      </c>
    </row>
    <row r="173" spans="1:10" x14ac:dyDescent="0.2">
      <c r="A173" t="s">
        <v>11</v>
      </c>
      <c r="B173" t="s">
        <v>769</v>
      </c>
      <c r="C173" s="1">
        <v>45363</v>
      </c>
      <c r="D173" t="s">
        <v>217</v>
      </c>
      <c r="E173">
        <v>15</v>
      </c>
      <c r="F173" s="18">
        <v>15</v>
      </c>
      <c r="G173" t="s">
        <v>1312</v>
      </c>
      <c r="H173" t="s">
        <v>215</v>
      </c>
      <c r="J173" s="21">
        <f>Table1[[#This Row],[interactions]]/Table1[[#This Row],[Attendance]]</f>
        <v>1</v>
      </c>
    </row>
    <row r="174" spans="1:10" x14ac:dyDescent="0.2">
      <c r="A174" t="s">
        <v>11</v>
      </c>
      <c r="B174" t="s">
        <v>1333</v>
      </c>
      <c r="C174" s="1">
        <v>45342</v>
      </c>
      <c r="D174" t="s">
        <v>366</v>
      </c>
      <c r="E174">
        <v>15</v>
      </c>
      <c r="F174" s="18">
        <v>15</v>
      </c>
      <c r="G174" t="s">
        <v>1332</v>
      </c>
      <c r="H174" t="s">
        <v>215</v>
      </c>
      <c r="J174" s="21">
        <f>Table1[[#This Row],[interactions]]/Table1[[#This Row],[Attendance]]</f>
        <v>1</v>
      </c>
    </row>
    <row r="175" spans="1:10" x14ac:dyDescent="0.2">
      <c r="A175" t="s">
        <v>11</v>
      </c>
      <c r="B175" t="s">
        <v>345</v>
      </c>
      <c r="C175" s="1">
        <v>45184</v>
      </c>
      <c r="D175" t="s">
        <v>217</v>
      </c>
      <c r="E175">
        <v>15</v>
      </c>
      <c r="F175" s="18">
        <v>15</v>
      </c>
      <c r="G175" t="s">
        <v>344</v>
      </c>
      <c r="H175" t="s">
        <v>215</v>
      </c>
      <c r="I175" t="s">
        <v>631</v>
      </c>
      <c r="J175" s="21">
        <f>Table1[[#This Row],[interactions]]/Table1[[#This Row],[Attendance]]</f>
        <v>1</v>
      </c>
    </row>
    <row r="176" spans="1:10" x14ac:dyDescent="0.2">
      <c r="A176" t="s">
        <v>11</v>
      </c>
      <c r="B176" t="s">
        <v>407</v>
      </c>
      <c r="C176" s="1">
        <v>45135</v>
      </c>
      <c r="D176" t="s">
        <v>217</v>
      </c>
      <c r="E176">
        <v>15</v>
      </c>
      <c r="F176" s="18">
        <v>15</v>
      </c>
      <c r="G176" t="s">
        <v>406</v>
      </c>
      <c r="H176" t="s">
        <v>405</v>
      </c>
      <c r="I176" t="s">
        <v>631</v>
      </c>
      <c r="J176" s="21">
        <f>Table1[[#This Row],[interactions]]/Table1[[#This Row],[Attendance]]</f>
        <v>1</v>
      </c>
    </row>
    <row r="177" spans="1:10" x14ac:dyDescent="0.2">
      <c r="A177" t="s">
        <v>11</v>
      </c>
      <c r="B177" t="s">
        <v>446</v>
      </c>
      <c r="C177" s="1">
        <v>45090</v>
      </c>
      <c r="D177" t="s">
        <v>217</v>
      </c>
      <c r="E177">
        <v>15</v>
      </c>
      <c r="F177" s="18">
        <v>15</v>
      </c>
      <c r="G177" t="s">
        <v>445</v>
      </c>
      <c r="H177" t="s">
        <v>215</v>
      </c>
      <c r="I177" t="s">
        <v>631</v>
      </c>
      <c r="J177" s="21">
        <f>Table1[[#This Row],[interactions]]/Table1[[#This Row],[Attendance]]</f>
        <v>1</v>
      </c>
    </row>
    <row r="178" spans="1:10" x14ac:dyDescent="0.2">
      <c r="A178" t="s">
        <v>11</v>
      </c>
      <c r="B178" t="s">
        <v>451</v>
      </c>
      <c r="C178" s="1">
        <v>45087</v>
      </c>
      <c r="D178" t="s">
        <v>217</v>
      </c>
      <c r="E178">
        <v>15</v>
      </c>
      <c r="F178" s="18">
        <v>15</v>
      </c>
      <c r="H178" t="s">
        <v>22</v>
      </c>
      <c r="I178" t="s">
        <v>631</v>
      </c>
      <c r="J178" s="21">
        <f>Table1[[#This Row],[interactions]]/Table1[[#This Row],[Attendance]]</f>
        <v>1</v>
      </c>
    </row>
    <row r="179" spans="1:10" x14ac:dyDescent="0.2">
      <c r="A179" t="s">
        <v>11</v>
      </c>
      <c r="B179" t="s">
        <v>1419</v>
      </c>
      <c r="C179" s="1">
        <v>45944</v>
      </c>
      <c r="D179" t="s">
        <v>366</v>
      </c>
      <c r="E179">
        <v>16</v>
      </c>
      <c r="F179" s="18">
        <v>16</v>
      </c>
      <c r="H179" t="s">
        <v>1392</v>
      </c>
      <c r="I179" t="s">
        <v>766</v>
      </c>
      <c r="J179" s="21">
        <f>Table1[[#This Row],[interactions]]/Table1[[#This Row],[Attendance]]</f>
        <v>1</v>
      </c>
    </row>
    <row r="180" spans="1:10" x14ac:dyDescent="0.2">
      <c r="A180" t="s">
        <v>11</v>
      </c>
      <c r="B180" t="s">
        <v>1396</v>
      </c>
      <c r="C180" s="1">
        <v>45939</v>
      </c>
      <c r="D180" t="s">
        <v>366</v>
      </c>
      <c r="E180">
        <v>16</v>
      </c>
      <c r="F180" s="18">
        <v>16</v>
      </c>
      <c r="H180" t="s">
        <v>1392</v>
      </c>
      <c r="I180" t="s">
        <v>719</v>
      </c>
      <c r="J180" s="21">
        <f>Table1[[#This Row],[interactions]]/Table1[[#This Row],[Attendance]]</f>
        <v>1</v>
      </c>
    </row>
    <row r="181" spans="1:10" x14ac:dyDescent="0.2">
      <c r="A181" t="s">
        <v>11</v>
      </c>
      <c r="B181" t="s">
        <v>1200</v>
      </c>
      <c r="C181" s="1">
        <v>45973</v>
      </c>
      <c r="D181" t="s">
        <v>366</v>
      </c>
      <c r="E181">
        <v>17</v>
      </c>
      <c r="F181" s="18">
        <v>17</v>
      </c>
      <c r="H181" t="s">
        <v>1395</v>
      </c>
      <c r="I181" t="s">
        <v>672</v>
      </c>
      <c r="J181" s="21">
        <f>Table1[[#This Row],[interactions]]/Table1[[#This Row],[Attendance]]</f>
        <v>1</v>
      </c>
    </row>
    <row r="182" spans="1:10" x14ac:dyDescent="0.2">
      <c r="A182" t="s">
        <v>11</v>
      </c>
      <c r="B182" t="s">
        <v>653</v>
      </c>
      <c r="C182" s="1">
        <v>45947</v>
      </c>
      <c r="D182" t="s">
        <v>366</v>
      </c>
      <c r="E182">
        <v>17</v>
      </c>
      <c r="F182" s="18">
        <v>17</v>
      </c>
      <c r="H182" t="s">
        <v>621</v>
      </c>
      <c r="I182" t="s">
        <v>648</v>
      </c>
      <c r="J182" s="21">
        <f>Table1[[#This Row],[interactions]]/Table1[[#This Row],[Attendance]]</f>
        <v>1</v>
      </c>
    </row>
    <row r="183" spans="1:10" x14ac:dyDescent="0.2">
      <c r="A183" t="s">
        <v>11</v>
      </c>
      <c r="B183" t="s">
        <v>1396</v>
      </c>
      <c r="C183" s="1">
        <v>45911</v>
      </c>
      <c r="D183" t="s">
        <v>366</v>
      </c>
      <c r="E183">
        <v>17</v>
      </c>
      <c r="F183" s="18">
        <v>17</v>
      </c>
      <c r="H183" t="s">
        <v>1392</v>
      </c>
      <c r="I183" t="s">
        <v>719</v>
      </c>
      <c r="J183" s="21">
        <f>Table1[[#This Row],[interactions]]/Table1[[#This Row],[Attendance]]</f>
        <v>1</v>
      </c>
    </row>
    <row r="184" spans="1:10" x14ac:dyDescent="0.2">
      <c r="A184" t="s">
        <v>11</v>
      </c>
      <c r="B184" t="s">
        <v>1434</v>
      </c>
      <c r="C184" s="1">
        <v>45932</v>
      </c>
      <c r="D184" t="s">
        <v>366</v>
      </c>
      <c r="E184">
        <v>18</v>
      </c>
      <c r="F184" s="18">
        <v>18</v>
      </c>
      <c r="H184" t="s">
        <v>1395</v>
      </c>
      <c r="I184" t="s">
        <v>790</v>
      </c>
      <c r="J184" s="21">
        <f>Table1[[#This Row],[interactions]]/Table1[[#This Row],[Attendance]]</f>
        <v>1</v>
      </c>
    </row>
    <row r="185" spans="1:10" x14ac:dyDescent="0.2">
      <c r="A185" t="s">
        <v>11</v>
      </c>
      <c r="B185" t="s">
        <v>1552</v>
      </c>
      <c r="C185" s="1">
        <v>45826</v>
      </c>
      <c r="D185" t="s">
        <v>366</v>
      </c>
      <c r="E185">
        <v>18</v>
      </c>
      <c r="F185" s="18">
        <v>18</v>
      </c>
      <c r="H185" t="s">
        <v>1409</v>
      </c>
      <c r="I185" t="s">
        <v>645</v>
      </c>
      <c r="J185" s="21">
        <f>Table1[[#This Row],[interactions]]/Table1[[#This Row],[Attendance]]</f>
        <v>1</v>
      </c>
    </row>
    <row r="186" spans="1:10" x14ac:dyDescent="0.2">
      <c r="A186" t="s">
        <v>11</v>
      </c>
      <c r="B186" t="s">
        <v>1010</v>
      </c>
      <c r="C186" s="1">
        <v>45729</v>
      </c>
      <c r="D186" t="s">
        <v>366</v>
      </c>
      <c r="E186">
        <v>18</v>
      </c>
      <c r="F186" s="18">
        <v>18</v>
      </c>
      <c r="H186" t="s">
        <v>621</v>
      </c>
      <c r="I186" t="s">
        <v>802</v>
      </c>
      <c r="J186" s="21">
        <f>Table1[[#This Row],[interactions]]/Table1[[#This Row],[Attendance]]</f>
        <v>1</v>
      </c>
    </row>
    <row r="187" spans="1:10" x14ac:dyDescent="0.2">
      <c r="A187" t="s">
        <v>11</v>
      </c>
      <c r="B187" t="s">
        <v>966</v>
      </c>
      <c r="C187" s="1">
        <v>45511</v>
      </c>
      <c r="D187" t="s">
        <v>217</v>
      </c>
      <c r="E187">
        <v>18</v>
      </c>
      <c r="F187" s="18">
        <v>18</v>
      </c>
      <c r="G187" t="s">
        <v>965</v>
      </c>
      <c r="H187" t="s">
        <v>612</v>
      </c>
      <c r="I187" t="s">
        <v>645</v>
      </c>
      <c r="J187" s="21">
        <f>Table1[[#This Row],[interactions]]/Table1[[#This Row],[Attendance]]</f>
        <v>1</v>
      </c>
    </row>
    <row r="188" spans="1:10" x14ac:dyDescent="0.2">
      <c r="A188" t="s">
        <v>11</v>
      </c>
      <c r="B188" t="s">
        <v>703</v>
      </c>
      <c r="C188" s="1">
        <v>45422</v>
      </c>
      <c r="D188" t="s">
        <v>1173</v>
      </c>
      <c r="E188">
        <v>18</v>
      </c>
      <c r="F188" s="18">
        <v>18</v>
      </c>
      <c r="G188" t="s">
        <v>1172</v>
      </c>
      <c r="H188" t="s">
        <v>612</v>
      </c>
      <c r="J188" s="21">
        <f>Table1[[#This Row],[interactions]]/Table1[[#This Row],[Attendance]]</f>
        <v>1</v>
      </c>
    </row>
    <row r="189" spans="1:10" x14ac:dyDescent="0.2">
      <c r="A189" t="s">
        <v>11</v>
      </c>
      <c r="B189" t="s">
        <v>1100</v>
      </c>
      <c r="C189" s="1">
        <v>45421</v>
      </c>
      <c r="D189" t="s">
        <v>217</v>
      </c>
      <c r="E189">
        <v>18</v>
      </c>
      <c r="F189" s="18">
        <v>18</v>
      </c>
      <c r="G189" t="s">
        <v>1177</v>
      </c>
      <c r="H189" t="s">
        <v>612</v>
      </c>
      <c r="J189" s="21">
        <f>Table1[[#This Row],[interactions]]/Table1[[#This Row],[Attendance]]</f>
        <v>1</v>
      </c>
    </row>
    <row r="190" spans="1:10" x14ac:dyDescent="0.2">
      <c r="A190" t="s">
        <v>11</v>
      </c>
      <c r="B190" t="s">
        <v>257</v>
      </c>
      <c r="C190" s="1">
        <v>45245</v>
      </c>
      <c r="D190" t="s">
        <v>237</v>
      </c>
      <c r="E190">
        <v>18</v>
      </c>
      <c r="F190" s="18">
        <v>18</v>
      </c>
      <c r="G190" t="s">
        <v>256</v>
      </c>
      <c r="H190" t="s">
        <v>229</v>
      </c>
      <c r="I190" t="s">
        <v>631</v>
      </c>
      <c r="J190" s="21">
        <f>Table1[[#This Row],[interactions]]/Table1[[#This Row],[Attendance]]</f>
        <v>1</v>
      </c>
    </row>
    <row r="191" spans="1:10" x14ac:dyDescent="0.2">
      <c r="A191" t="s">
        <v>11</v>
      </c>
      <c r="B191" t="s">
        <v>606</v>
      </c>
      <c r="C191" s="1">
        <v>45942</v>
      </c>
      <c r="D191" t="s">
        <v>237</v>
      </c>
      <c r="E191">
        <v>20</v>
      </c>
      <c r="F191" s="18">
        <v>20</v>
      </c>
      <c r="I191" t="s">
        <v>607</v>
      </c>
      <c r="J191" s="21">
        <f>Table1[[#This Row],[interactions]]/Table1[[#This Row],[Attendance]]</f>
        <v>1</v>
      </c>
    </row>
    <row r="192" spans="1:10" x14ac:dyDescent="0.2">
      <c r="A192" t="s">
        <v>11</v>
      </c>
      <c r="B192" t="s">
        <v>1517</v>
      </c>
      <c r="C192" s="1">
        <v>45877</v>
      </c>
      <c r="D192" t="s">
        <v>217</v>
      </c>
      <c r="E192">
        <v>20</v>
      </c>
      <c r="F192" s="18">
        <v>20</v>
      </c>
      <c r="H192" t="s">
        <v>1476</v>
      </c>
      <c r="I192" t="s">
        <v>704</v>
      </c>
      <c r="J192" s="21">
        <f>Table1[[#This Row],[interactions]]/Table1[[#This Row],[Attendance]]</f>
        <v>1</v>
      </c>
    </row>
    <row r="193" spans="1:10" x14ac:dyDescent="0.2">
      <c r="A193" t="s">
        <v>11</v>
      </c>
      <c r="B193" t="s">
        <v>1472</v>
      </c>
      <c r="C193" s="1">
        <v>45876</v>
      </c>
      <c r="D193" t="s">
        <v>366</v>
      </c>
      <c r="E193">
        <v>20</v>
      </c>
      <c r="F193" s="18">
        <v>20</v>
      </c>
      <c r="H193" t="s">
        <v>621</v>
      </c>
      <c r="I193" t="s">
        <v>802</v>
      </c>
      <c r="J193" s="21">
        <f>Table1[[#This Row],[interactions]]/Table1[[#This Row],[Attendance]]</f>
        <v>1</v>
      </c>
    </row>
    <row r="194" spans="1:10" x14ac:dyDescent="0.2">
      <c r="A194" t="s">
        <v>11</v>
      </c>
      <c r="B194" t="s">
        <v>1522</v>
      </c>
      <c r="C194" s="1">
        <v>45867</v>
      </c>
      <c r="D194" t="s">
        <v>217</v>
      </c>
      <c r="E194">
        <v>20</v>
      </c>
      <c r="F194" s="18">
        <v>20</v>
      </c>
      <c r="I194" t="s">
        <v>679</v>
      </c>
      <c r="J194" s="21">
        <f>Table1[[#This Row],[interactions]]/Table1[[#This Row],[Attendance]]</f>
        <v>1</v>
      </c>
    </row>
    <row r="195" spans="1:10" x14ac:dyDescent="0.2">
      <c r="A195" t="s">
        <v>11</v>
      </c>
      <c r="B195" t="s">
        <v>678</v>
      </c>
      <c r="C195" s="1">
        <v>45804</v>
      </c>
      <c r="D195" t="s">
        <v>217</v>
      </c>
      <c r="E195">
        <v>20</v>
      </c>
      <c r="F195" s="18">
        <v>20</v>
      </c>
      <c r="G195" t="s">
        <v>664</v>
      </c>
      <c r="H195" t="s">
        <v>22</v>
      </c>
      <c r="I195" t="s">
        <v>679</v>
      </c>
      <c r="J195" s="21">
        <f>Table1[[#This Row],[interactions]]/Table1[[#This Row],[Attendance]]</f>
        <v>1</v>
      </c>
    </row>
    <row r="196" spans="1:10" x14ac:dyDescent="0.2">
      <c r="A196" t="s">
        <v>11</v>
      </c>
      <c r="B196" t="s">
        <v>1565</v>
      </c>
      <c r="C196" s="1">
        <v>45797</v>
      </c>
      <c r="D196" t="s">
        <v>366</v>
      </c>
      <c r="E196">
        <v>20</v>
      </c>
      <c r="F196" s="18">
        <v>20</v>
      </c>
      <c r="H196" t="s">
        <v>621</v>
      </c>
      <c r="I196" t="s">
        <v>625</v>
      </c>
      <c r="J196" s="21">
        <f>Table1[[#This Row],[interactions]]/Table1[[#This Row],[Attendance]]</f>
        <v>1</v>
      </c>
    </row>
    <row r="197" spans="1:10" x14ac:dyDescent="0.2">
      <c r="A197" t="s">
        <v>11</v>
      </c>
      <c r="B197" t="s">
        <v>665</v>
      </c>
      <c r="C197" s="1">
        <v>45770</v>
      </c>
      <c r="D197" t="s">
        <v>217</v>
      </c>
      <c r="E197">
        <v>20</v>
      </c>
      <c r="F197" s="18">
        <v>20</v>
      </c>
      <c r="G197" t="s">
        <v>664</v>
      </c>
      <c r="H197" t="s">
        <v>22</v>
      </c>
      <c r="I197" t="s">
        <v>1540</v>
      </c>
      <c r="J197" s="21">
        <f>Table1[[#This Row],[interactions]]/Table1[[#This Row],[Attendance]]</f>
        <v>1</v>
      </c>
    </row>
    <row r="198" spans="1:10" x14ac:dyDescent="0.2">
      <c r="A198" t="s">
        <v>11</v>
      </c>
      <c r="B198" t="s">
        <v>678</v>
      </c>
      <c r="C198" s="1">
        <v>45769</v>
      </c>
      <c r="D198" t="s">
        <v>217</v>
      </c>
      <c r="E198">
        <v>20</v>
      </c>
      <c r="F198" s="18">
        <v>20</v>
      </c>
      <c r="G198" t="s">
        <v>664</v>
      </c>
      <c r="H198" t="s">
        <v>22</v>
      </c>
      <c r="I198" t="s">
        <v>679</v>
      </c>
      <c r="J198" s="21">
        <f>Table1[[#This Row],[interactions]]/Table1[[#This Row],[Attendance]]</f>
        <v>1</v>
      </c>
    </row>
    <row r="199" spans="1:10" x14ac:dyDescent="0.2">
      <c r="A199" t="s">
        <v>11</v>
      </c>
      <c r="B199" t="s">
        <v>1595</v>
      </c>
      <c r="C199" s="1">
        <v>45742</v>
      </c>
      <c r="D199" t="s">
        <v>217</v>
      </c>
      <c r="E199">
        <v>20</v>
      </c>
      <c r="F199" s="18">
        <v>20</v>
      </c>
      <c r="H199" t="s">
        <v>649</v>
      </c>
      <c r="I199" t="s">
        <v>657</v>
      </c>
      <c r="J199" s="21">
        <f>Table1[[#This Row],[interactions]]/Table1[[#This Row],[Attendance]]</f>
        <v>1</v>
      </c>
    </row>
    <row r="200" spans="1:10" x14ac:dyDescent="0.2">
      <c r="A200" t="s">
        <v>11</v>
      </c>
      <c r="B200" t="s">
        <v>1608</v>
      </c>
      <c r="C200" s="1">
        <v>45730</v>
      </c>
      <c r="D200" t="s">
        <v>217</v>
      </c>
      <c r="E200">
        <v>20</v>
      </c>
      <c r="F200" s="18">
        <v>20</v>
      </c>
      <c r="H200" t="s">
        <v>1409</v>
      </c>
      <c r="I200" t="s">
        <v>704</v>
      </c>
      <c r="J200" s="21">
        <f>Table1[[#This Row],[interactions]]/Table1[[#This Row],[Attendance]]</f>
        <v>1</v>
      </c>
    </row>
    <row r="201" spans="1:10" x14ac:dyDescent="0.2">
      <c r="A201" t="s">
        <v>11</v>
      </c>
      <c r="B201" t="s">
        <v>665</v>
      </c>
      <c r="C201" s="1">
        <v>45626</v>
      </c>
      <c r="D201" t="s">
        <v>217</v>
      </c>
      <c r="E201">
        <v>20</v>
      </c>
      <c r="F201" s="18">
        <v>20</v>
      </c>
      <c r="G201" t="s">
        <v>664</v>
      </c>
      <c r="I201" t="s">
        <v>666</v>
      </c>
      <c r="J201" s="21">
        <f>Table1[[#This Row],[interactions]]/Table1[[#This Row],[Attendance]]</f>
        <v>1</v>
      </c>
    </row>
    <row r="202" spans="1:10" x14ac:dyDescent="0.2">
      <c r="A202" t="s">
        <v>11</v>
      </c>
      <c r="B202" t="s">
        <v>678</v>
      </c>
      <c r="C202" s="1">
        <v>45615</v>
      </c>
      <c r="D202" t="s">
        <v>217</v>
      </c>
      <c r="E202">
        <v>20</v>
      </c>
      <c r="F202" s="18">
        <v>20</v>
      </c>
      <c r="G202" t="s">
        <v>664</v>
      </c>
      <c r="I202" t="s">
        <v>679</v>
      </c>
      <c r="J202" s="21">
        <f>Table1[[#This Row],[interactions]]/Table1[[#This Row],[Attendance]]</f>
        <v>1</v>
      </c>
    </row>
    <row r="203" spans="1:10" x14ac:dyDescent="0.2">
      <c r="A203" t="s">
        <v>11</v>
      </c>
      <c r="B203" t="s">
        <v>665</v>
      </c>
      <c r="C203" s="1">
        <v>45595</v>
      </c>
      <c r="D203" t="s">
        <v>217</v>
      </c>
      <c r="E203">
        <v>20</v>
      </c>
      <c r="F203" s="18">
        <v>20</v>
      </c>
      <c r="G203" t="s">
        <v>664</v>
      </c>
      <c r="I203" t="s">
        <v>666</v>
      </c>
      <c r="J203" s="21">
        <f>Table1[[#This Row],[interactions]]/Table1[[#This Row],[Attendance]]</f>
        <v>1</v>
      </c>
    </row>
    <row r="204" spans="1:10" x14ac:dyDescent="0.2">
      <c r="A204" t="s">
        <v>11</v>
      </c>
      <c r="B204" t="s">
        <v>592</v>
      </c>
      <c r="C204" s="1">
        <v>45594</v>
      </c>
      <c r="D204" t="s">
        <v>237</v>
      </c>
      <c r="E204">
        <v>20</v>
      </c>
      <c r="F204" s="18">
        <v>20</v>
      </c>
      <c r="G204" t="s">
        <v>591</v>
      </c>
      <c r="I204" t="s">
        <v>593</v>
      </c>
      <c r="J204" s="21">
        <f>Table1[[#This Row],[interactions]]/Table1[[#This Row],[Attendance]]</f>
        <v>1</v>
      </c>
    </row>
    <row r="205" spans="1:10" x14ac:dyDescent="0.2">
      <c r="A205" t="s">
        <v>11</v>
      </c>
      <c r="B205" t="s">
        <v>678</v>
      </c>
      <c r="C205" s="1">
        <v>45594</v>
      </c>
      <c r="D205" t="s">
        <v>217</v>
      </c>
      <c r="E205">
        <v>20</v>
      </c>
      <c r="F205" s="18">
        <v>20</v>
      </c>
      <c r="G205" t="s">
        <v>664</v>
      </c>
      <c r="I205" t="s">
        <v>679</v>
      </c>
      <c r="J205" s="21">
        <f>Table1[[#This Row],[interactions]]/Table1[[#This Row],[Attendance]]</f>
        <v>1</v>
      </c>
    </row>
    <row r="206" spans="1:10" x14ac:dyDescent="0.2">
      <c r="A206" t="s">
        <v>11</v>
      </c>
      <c r="B206" t="s">
        <v>718</v>
      </c>
      <c r="C206" s="1">
        <v>45589</v>
      </c>
      <c r="D206" t="s">
        <v>217</v>
      </c>
      <c r="E206">
        <v>20</v>
      </c>
      <c r="F206" s="18">
        <v>20</v>
      </c>
      <c r="I206" t="s">
        <v>719</v>
      </c>
      <c r="J206" s="21">
        <f>Table1[[#This Row],[interactions]]/Table1[[#This Row],[Attendance]]</f>
        <v>1</v>
      </c>
    </row>
    <row r="207" spans="1:10" x14ac:dyDescent="0.2">
      <c r="A207" t="s">
        <v>11</v>
      </c>
      <c r="B207" t="s">
        <v>727</v>
      </c>
      <c r="C207" s="1">
        <v>45588</v>
      </c>
      <c r="D207" t="s">
        <v>217</v>
      </c>
      <c r="E207">
        <v>20</v>
      </c>
      <c r="F207" s="18">
        <v>20</v>
      </c>
      <c r="H207" t="s">
        <v>608</v>
      </c>
      <c r="I207" t="s">
        <v>627</v>
      </c>
      <c r="J207" s="21">
        <f>Table1[[#This Row],[interactions]]/Table1[[#This Row],[Attendance]]</f>
        <v>1</v>
      </c>
    </row>
    <row r="208" spans="1:10" x14ac:dyDescent="0.2">
      <c r="A208" t="s">
        <v>11</v>
      </c>
      <c r="B208" t="s">
        <v>713</v>
      </c>
      <c r="C208" s="1">
        <v>45560</v>
      </c>
      <c r="D208" t="s">
        <v>366</v>
      </c>
      <c r="E208">
        <v>20</v>
      </c>
      <c r="F208" s="18">
        <v>20</v>
      </c>
      <c r="G208" t="s">
        <v>805</v>
      </c>
      <c r="H208" t="s">
        <v>797</v>
      </c>
      <c r="I208" t="s">
        <v>607</v>
      </c>
      <c r="J208" s="21">
        <f>Table1[[#This Row],[interactions]]/Table1[[#This Row],[Attendance]]</f>
        <v>1</v>
      </c>
    </row>
    <row r="209" spans="1:10" x14ac:dyDescent="0.2">
      <c r="A209" t="s">
        <v>11</v>
      </c>
      <c r="B209" t="s">
        <v>665</v>
      </c>
      <c r="C209" s="1">
        <v>45560</v>
      </c>
      <c r="D209" t="s">
        <v>217</v>
      </c>
      <c r="E209">
        <v>20</v>
      </c>
      <c r="F209" s="18">
        <v>20</v>
      </c>
      <c r="G209" t="s">
        <v>664</v>
      </c>
      <c r="I209" t="s">
        <v>666</v>
      </c>
      <c r="J209" s="21">
        <f>Table1[[#This Row],[interactions]]/Table1[[#This Row],[Attendance]]</f>
        <v>1</v>
      </c>
    </row>
    <row r="210" spans="1:10" x14ac:dyDescent="0.2">
      <c r="A210" t="s">
        <v>11</v>
      </c>
      <c r="B210" t="s">
        <v>678</v>
      </c>
      <c r="C210" s="1">
        <v>45559</v>
      </c>
      <c r="D210" t="s">
        <v>217</v>
      </c>
      <c r="E210">
        <v>20</v>
      </c>
      <c r="F210" s="18">
        <v>20</v>
      </c>
      <c r="G210" t="s">
        <v>664</v>
      </c>
      <c r="I210" t="s">
        <v>679</v>
      </c>
      <c r="J210" s="21">
        <f>Table1[[#This Row],[interactions]]/Table1[[#This Row],[Attendance]]</f>
        <v>1</v>
      </c>
    </row>
    <row r="211" spans="1:10" x14ac:dyDescent="0.2">
      <c r="A211" t="s">
        <v>11</v>
      </c>
      <c r="B211" t="s">
        <v>895</v>
      </c>
      <c r="C211" s="1">
        <v>45539</v>
      </c>
      <c r="D211" t="s">
        <v>48</v>
      </c>
      <c r="E211">
        <v>20</v>
      </c>
      <c r="F211" s="18">
        <v>20</v>
      </c>
      <c r="G211" t="s">
        <v>894</v>
      </c>
      <c r="H211" t="s">
        <v>797</v>
      </c>
      <c r="I211" t="s">
        <v>607</v>
      </c>
      <c r="J211" s="21">
        <f>Table1[[#This Row],[interactions]]/Table1[[#This Row],[Attendance]]</f>
        <v>1</v>
      </c>
    </row>
    <row r="212" spans="1:10" x14ac:dyDescent="0.2">
      <c r="A212" t="s">
        <v>11</v>
      </c>
      <c r="B212" t="s">
        <v>665</v>
      </c>
      <c r="C212" s="1">
        <v>45533</v>
      </c>
      <c r="D212" t="s">
        <v>217</v>
      </c>
      <c r="E212">
        <v>20</v>
      </c>
      <c r="F212" s="18">
        <v>20</v>
      </c>
      <c r="G212" t="s">
        <v>664</v>
      </c>
      <c r="I212" t="s">
        <v>666</v>
      </c>
      <c r="J212" s="21">
        <f>Table1[[#This Row],[interactions]]/Table1[[#This Row],[Attendance]]</f>
        <v>1</v>
      </c>
    </row>
    <row r="213" spans="1:10" x14ac:dyDescent="0.2">
      <c r="A213" t="s">
        <v>11</v>
      </c>
      <c r="B213" t="s">
        <v>678</v>
      </c>
      <c r="C213" s="1">
        <v>45532</v>
      </c>
      <c r="D213" t="s">
        <v>217</v>
      </c>
      <c r="E213">
        <v>20</v>
      </c>
      <c r="F213" s="18">
        <v>20</v>
      </c>
      <c r="G213" t="s">
        <v>664</v>
      </c>
      <c r="I213" t="s">
        <v>679</v>
      </c>
      <c r="J213" s="21">
        <f>Table1[[#This Row],[interactions]]/Table1[[#This Row],[Attendance]]</f>
        <v>1</v>
      </c>
    </row>
    <row r="214" spans="1:10" x14ac:dyDescent="0.2">
      <c r="A214" t="s">
        <v>11</v>
      </c>
      <c r="B214" t="s">
        <v>1012</v>
      </c>
      <c r="C214" s="1">
        <v>45497</v>
      </c>
      <c r="D214" t="s">
        <v>366</v>
      </c>
      <c r="E214">
        <v>20</v>
      </c>
      <c r="F214" s="18">
        <v>20</v>
      </c>
      <c r="G214" t="s">
        <v>1011</v>
      </c>
      <c r="H214" t="s">
        <v>797</v>
      </c>
      <c r="I214" t="s">
        <v>607</v>
      </c>
      <c r="J214" s="21">
        <f>Table1[[#This Row],[interactions]]/Table1[[#This Row],[Attendance]]</f>
        <v>1</v>
      </c>
    </row>
    <row r="215" spans="1:10" x14ac:dyDescent="0.2">
      <c r="A215" t="s">
        <v>11</v>
      </c>
      <c r="B215" t="s">
        <v>665</v>
      </c>
      <c r="C215" s="1">
        <v>45497</v>
      </c>
      <c r="D215" t="s">
        <v>217</v>
      </c>
      <c r="E215">
        <v>20</v>
      </c>
      <c r="F215" s="18">
        <v>20</v>
      </c>
      <c r="G215" t="s">
        <v>664</v>
      </c>
      <c r="I215" t="s">
        <v>666</v>
      </c>
      <c r="J215" s="21">
        <f>Table1[[#This Row],[interactions]]/Table1[[#This Row],[Attendance]]</f>
        <v>1</v>
      </c>
    </row>
    <row r="216" spans="1:10" x14ac:dyDescent="0.2">
      <c r="A216" t="s">
        <v>11</v>
      </c>
      <c r="B216" t="s">
        <v>678</v>
      </c>
      <c r="C216" s="1">
        <v>45496</v>
      </c>
      <c r="D216" t="s">
        <v>217</v>
      </c>
      <c r="E216">
        <v>20</v>
      </c>
      <c r="F216" s="18">
        <v>20</v>
      </c>
      <c r="G216" t="s">
        <v>664</v>
      </c>
      <c r="I216" t="s">
        <v>679</v>
      </c>
      <c r="J216" s="21">
        <f>Table1[[#This Row],[interactions]]/Table1[[#This Row],[Attendance]]</f>
        <v>1</v>
      </c>
    </row>
    <row r="217" spans="1:10" x14ac:dyDescent="0.2">
      <c r="A217" t="s">
        <v>11</v>
      </c>
      <c r="B217" t="s">
        <v>1037</v>
      </c>
      <c r="C217" s="1">
        <v>45484</v>
      </c>
      <c r="D217" t="s">
        <v>581</v>
      </c>
      <c r="E217">
        <v>20</v>
      </c>
      <c r="F217" s="18">
        <v>20</v>
      </c>
      <c r="G217" t="s">
        <v>1036</v>
      </c>
      <c r="H217" t="s">
        <v>797</v>
      </c>
      <c r="I217" t="s">
        <v>719</v>
      </c>
      <c r="J217" s="21">
        <f>Table1[[#This Row],[interactions]]/Table1[[#This Row],[Attendance]]</f>
        <v>1</v>
      </c>
    </row>
    <row r="218" spans="1:10" x14ac:dyDescent="0.2">
      <c r="A218" t="s">
        <v>11</v>
      </c>
      <c r="B218" t="s">
        <v>769</v>
      </c>
      <c r="C218" s="1">
        <v>45482</v>
      </c>
      <c r="D218" t="s">
        <v>217</v>
      </c>
      <c r="E218">
        <v>20</v>
      </c>
      <c r="F218" s="18">
        <v>20</v>
      </c>
      <c r="G218" t="s">
        <v>1054</v>
      </c>
      <c r="H218" t="s">
        <v>215</v>
      </c>
      <c r="I218" t="s">
        <v>657</v>
      </c>
      <c r="J218" s="21">
        <f>Table1[[#This Row],[interactions]]/Table1[[#This Row],[Attendance]]</f>
        <v>1</v>
      </c>
    </row>
    <row r="219" spans="1:10" x14ac:dyDescent="0.2">
      <c r="A219" t="s">
        <v>11</v>
      </c>
      <c r="B219" t="s">
        <v>665</v>
      </c>
      <c r="C219" s="1">
        <v>45468</v>
      </c>
      <c r="D219" t="s">
        <v>217</v>
      </c>
      <c r="E219">
        <v>20</v>
      </c>
      <c r="F219" s="18">
        <v>20</v>
      </c>
      <c r="G219" t="s">
        <v>664</v>
      </c>
      <c r="H219" t="s">
        <v>22</v>
      </c>
      <c r="I219" t="s">
        <v>1540</v>
      </c>
      <c r="J219" s="21">
        <f>Table1[[#This Row],[interactions]]/Table1[[#This Row],[Attendance]]</f>
        <v>1</v>
      </c>
    </row>
    <row r="220" spans="1:10" x14ac:dyDescent="0.2">
      <c r="A220" t="s">
        <v>11</v>
      </c>
      <c r="B220" t="s">
        <v>1088</v>
      </c>
      <c r="C220" s="1">
        <v>45461</v>
      </c>
      <c r="D220" t="s">
        <v>217</v>
      </c>
      <c r="E220">
        <v>20</v>
      </c>
      <c r="F220" s="18">
        <v>20</v>
      </c>
      <c r="G220" t="s">
        <v>1087</v>
      </c>
      <c r="H220" t="s">
        <v>612</v>
      </c>
      <c r="J220" s="21">
        <f>Table1[[#This Row],[interactions]]/Table1[[#This Row],[Attendance]]</f>
        <v>1</v>
      </c>
    </row>
    <row r="221" spans="1:10" x14ac:dyDescent="0.2">
      <c r="A221" t="s">
        <v>11</v>
      </c>
      <c r="B221" t="s">
        <v>1111</v>
      </c>
      <c r="C221" s="1">
        <v>45455</v>
      </c>
      <c r="D221" t="s">
        <v>581</v>
      </c>
      <c r="E221">
        <v>20</v>
      </c>
      <c r="F221" s="18">
        <v>20</v>
      </c>
      <c r="G221" t="s">
        <v>1110</v>
      </c>
      <c r="H221" t="s">
        <v>215</v>
      </c>
      <c r="J221" s="21">
        <f>Table1[[#This Row],[interactions]]/Table1[[#This Row],[Attendance]]</f>
        <v>1</v>
      </c>
    </row>
    <row r="222" spans="1:10" x14ac:dyDescent="0.2">
      <c r="A222" t="s">
        <v>11</v>
      </c>
      <c r="B222" t="s">
        <v>769</v>
      </c>
      <c r="C222" s="1">
        <v>45454</v>
      </c>
      <c r="D222" t="s">
        <v>1119</v>
      </c>
      <c r="E222">
        <v>20</v>
      </c>
      <c r="F222" s="18">
        <v>20</v>
      </c>
      <c r="G222" t="s">
        <v>1118</v>
      </c>
      <c r="H222" t="s">
        <v>215</v>
      </c>
      <c r="J222" s="21">
        <f>Table1[[#This Row],[interactions]]/Table1[[#This Row],[Attendance]]</f>
        <v>1</v>
      </c>
    </row>
    <row r="223" spans="1:10" x14ac:dyDescent="0.2">
      <c r="A223" t="s">
        <v>11</v>
      </c>
      <c r="B223" t="s">
        <v>665</v>
      </c>
      <c r="C223" s="1">
        <v>45441</v>
      </c>
      <c r="D223" t="s">
        <v>217</v>
      </c>
      <c r="E223">
        <v>20</v>
      </c>
      <c r="F223" s="18">
        <v>20</v>
      </c>
      <c r="G223" t="s">
        <v>664</v>
      </c>
      <c r="I223" t="s">
        <v>666</v>
      </c>
      <c r="J223" s="21">
        <f>Table1[[#This Row],[interactions]]/Table1[[#This Row],[Attendance]]</f>
        <v>1</v>
      </c>
    </row>
    <row r="224" spans="1:10" x14ac:dyDescent="0.2">
      <c r="A224" t="s">
        <v>11</v>
      </c>
      <c r="B224" t="s">
        <v>678</v>
      </c>
      <c r="C224" s="1">
        <v>45440</v>
      </c>
      <c r="D224" t="s">
        <v>217</v>
      </c>
      <c r="E224">
        <v>20</v>
      </c>
      <c r="F224" s="18">
        <v>20</v>
      </c>
      <c r="G224" t="s">
        <v>664</v>
      </c>
      <c r="I224" t="s">
        <v>679</v>
      </c>
      <c r="J224" s="21">
        <f>Table1[[#This Row],[interactions]]/Table1[[#This Row],[Attendance]]</f>
        <v>1</v>
      </c>
    </row>
    <row r="225" spans="1:10" x14ac:dyDescent="0.2">
      <c r="A225" t="s">
        <v>11</v>
      </c>
      <c r="B225" t="s">
        <v>1104</v>
      </c>
      <c r="C225" s="1">
        <v>45421</v>
      </c>
      <c r="D225" t="s">
        <v>217</v>
      </c>
      <c r="E225">
        <v>20</v>
      </c>
      <c r="F225" s="18">
        <v>20</v>
      </c>
      <c r="H225" t="s">
        <v>490</v>
      </c>
      <c r="J225" s="21">
        <f>Table1[[#This Row],[interactions]]/Table1[[#This Row],[Attendance]]</f>
        <v>1</v>
      </c>
    </row>
    <row r="226" spans="1:10" x14ac:dyDescent="0.2">
      <c r="A226" t="s">
        <v>11</v>
      </c>
      <c r="B226" t="s">
        <v>665</v>
      </c>
      <c r="C226" s="1">
        <v>45406</v>
      </c>
      <c r="D226" t="s">
        <v>217</v>
      </c>
      <c r="E226">
        <v>20</v>
      </c>
      <c r="F226" s="18">
        <v>20</v>
      </c>
      <c r="G226" t="s">
        <v>664</v>
      </c>
      <c r="I226" t="s">
        <v>666</v>
      </c>
      <c r="J226" s="21">
        <f>Table1[[#This Row],[interactions]]/Table1[[#This Row],[Attendance]]</f>
        <v>1</v>
      </c>
    </row>
    <row r="227" spans="1:10" x14ac:dyDescent="0.2">
      <c r="A227" t="s">
        <v>11</v>
      </c>
      <c r="B227" t="s">
        <v>678</v>
      </c>
      <c r="C227" s="1">
        <v>45405</v>
      </c>
      <c r="D227" t="s">
        <v>217</v>
      </c>
      <c r="E227">
        <v>20</v>
      </c>
      <c r="F227" s="18">
        <v>20</v>
      </c>
      <c r="G227" t="s">
        <v>664</v>
      </c>
      <c r="I227" t="s">
        <v>679</v>
      </c>
      <c r="J227" s="21">
        <f>Table1[[#This Row],[interactions]]/Table1[[#This Row],[Attendance]]</f>
        <v>1</v>
      </c>
    </row>
    <row r="228" spans="1:10" x14ac:dyDescent="0.2">
      <c r="A228" t="s">
        <v>11</v>
      </c>
      <c r="B228" t="s">
        <v>1247</v>
      </c>
      <c r="C228" s="1">
        <v>45393</v>
      </c>
      <c r="D228" t="s">
        <v>217</v>
      </c>
      <c r="E228">
        <v>20</v>
      </c>
      <c r="F228" s="18">
        <v>20</v>
      </c>
      <c r="G228" t="s">
        <v>1246</v>
      </c>
      <c r="H228" t="s">
        <v>490</v>
      </c>
      <c r="J228" s="21">
        <f>Table1[[#This Row],[interactions]]/Table1[[#This Row],[Attendance]]</f>
        <v>1</v>
      </c>
    </row>
    <row r="229" spans="1:10" x14ac:dyDescent="0.2">
      <c r="A229" t="s">
        <v>11</v>
      </c>
      <c r="B229" t="s">
        <v>665</v>
      </c>
      <c r="C229" s="1">
        <v>45378</v>
      </c>
      <c r="D229" t="s">
        <v>217</v>
      </c>
      <c r="E229">
        <v>20</v>
      </c>
      <c r="F229" s="18">
        <v>20</v>
      </c>
      <c r="G229" t="s">
        <v>664</v>
      </c>
      <c r="I229" t="s">
        <v>666</v>
      </c>
      <c r="J229" s="21">
        <f>Table1[[#This Row],[interactions]]/Table1[[#This Row],[Attendance]]</f>
        <v>1</v>
      </c>
    </row>
    <row r="230" spans="1:10" x14ac:dyDescent="0.2">
      <c r="A230" t="s">
        <v>11</v>
      </c>
      <c r="B230" t="s">
        <v>1279</v>
      </c>
      <c r="C230" s="1">
        <v>45378</v>
      </c>
      <c r="D230" t="s">
        <v>217</v>
      </c>
      <c r="E230">
        <v>20</v>
      </c>
      <c r="F230" s="18">
        <v>20</v>
      </c>
      <c r="G230" t="s">
        <v>1278</v>
      </c>
      <c r="H230" t="s">
        <v>490</v>
      </c>
      <c r="J230" s="21">
        <f>Table1[[#This Row],[interactions]]/Table1[[#This Row],[Attendance]]</f>
        <v>1</v>
      </c>
    </row>
    <row r="231" spans="1:10" x14ac:dyDescent="0.2">
      <c r="A231" t="s">
        <v>11</v>
      </c>
      <c r="B231" t="s">
        <v>678</v>
      </c>
      <c r="C231" s="1">
        <v>45377</v>
      </c>
      <c r="D231" t="s">
        <v>217</v>
      </c>
      <c r="E231">
        <v>20</v>
      </c>
      <c r="F231" s="18">
        <v>20</v>
      </c>
      <c r="G231" t="s">
        <v>664</v>
      </c>
      <c r="I231" t="s">
        <v>679</v>
      </c>
      <c r="J231" s="21">
        <f>Table1[[#This Row],[interactions]]/Table1[[#This Row],[Attendance]]</f>
        <v>1</v>
      </c>
    </row>
    <row r="232" spans="1:10" x14ac:dyDescent="0.2">
      <c r="A232" t="s">
        <v>11</v>
      </c>
      <c r="B232" t="s">
        <v>1291</v>
      </c>
      <c r="C232" s="1">
        <v>45371</v>
      </c>
      <c r="D232" t="s">
        <v>217</v>
      </c>
      <c r="E232">
        <v>20</v>
      </c>
      <c r="F232" s="18">
        <v>20</v>
      </c>
      <c r="G232" t="s">
        <v>1290</v>
      </c>
      <c r="H232" t="s">
        <v>1208</v>
      </c>
      <c r="J232" s="21">
        <f>Table1[[#This Row],[interactions]]/Table1[[#This Row],[Attendance]]</f>
        <v>1</v>
      </c>
    </row>
    <row r="233" spans="1:10" x14ac:dyDescent="0.2">
      <c r="A233" t="s">
        <v>11</v>
      </c>
      <c r="B233" t="s">
        <v>695</v>
      </c>
      <c r="C233" s="1">
        <v>45365</v>
      </c>
      <c r="D233" t="s">
        <v>217</v>
      </c>
      <c r="E233">
        <v>20</v>
      </c>
      <c r="F233" s="18">
        <v>20</v>
      </c>
      <c r="G233" t="s">
        <v>1301</v>
      </c>
      <c r="H233" t="s">
        <v>215</v>
      </c>
      <c r="J233" s="21">
        <f>Table1[[#This Row],[interactions]]/Table1[[#This Row],[Attendance]]</f>
        <v>1</v>
      </c>
    </row>
    <row r="234" spans="1:10" x14ac:dyDescent="0.2">
      <c r="A234" t="s">
        <v>11</v>
      </c>
      <c r="B234" t="s">
        <v>665</v>
      </c>
      <c r="C234" s="1">
        <v>45350</v>
      </c>
      <c r="D234" t="s">
        <v>217</v>
      </c>
      <c r="E234">
        <v>20</v>
      </c>
      <c r="F234" s="18">
        <v>20</v>
      </c>
      <c r="G234" t="s">
        <v>664</v>
      </c>
      <c r="I234" t="s">
        <v>666</v>
      </c>
      <c r="J234" s="21">
        <f>Table1[[#This Row],[interactions]]/Table1[[#This Row],[Attendance]]</f>
        <v>1</v>
      </c>
    </row>
    <row r="235" spans="1:10" x14ac:dyDescent="0.2">
      <c r="A235" t="s">
        <v>11</v>
      </c>
      <c r="B235" t="s">
        <v>678</v>
      </c>
      <c r="C235" s="1">
        <v>45349</v>
      </c>
      <c r="D235" t="s">
        <v>217</v>
      </c>
      <c r="E235">
        <v>20</v>
      </c>
      <c r="F235" s="18">
        <v>20</v>
      </c>
      <c r="G235" t="s">
        <v>664</v>
      </c>
      <c r="I235" t="s">
        <v>679</v>
      </c>
      <c r="J235" s="21">
        <f>Table1[[#This Row],[interactions]]/Table1[[#This Row],[Attendance]]</f>
        <v>1</v>
      </c>
    </row>
    <row r="236" spans="1:10" x14ac:dyDescent="0.2">
      <c r="A236" t="s">
        <v>11</v>
      </c>
      <c r="B236" t="s">
        <v>665</v>
      </c>
      <c r="C236" s="1">
        <v>45315</v>
      </c>
      <c r="D236" t="s">
        <v>217</v>
      </c>
      <c r="E236">
        <v>20</v>
      </c>
      <c r="F236" s="18">
        <v>20</v>
      </c>
      <c r="G236" t="s">
        <v>664</v>
      </c>
      <c r="I236" t="s">
        <v>666</v>
      </c>
      <c r="J236" s="21">
        <f>Table1[[#This Row],[interactions]]/Table1[[#This Row],[Attendance]]</f>
        <v>1</v>
      </c>
    </row>
    <row r="237" spans="1:10" x14ac:dyDescent="0.2">
      <c r="A237" t="s">
        <v>11</v>
      </c>
      <c r="B237" t="s">
        <v>1350</v>
      </c>
      <c r="C237" s="1">
        <v>45315</v>
      </c>
      <c r="D237" t="s">
        <v>237</v>
      </c>
      <c r="E237">
        <v>20</v>
      </c>
      <c r="F237" s="18">
        <v>20</v>
      </c>
      <c r="G237" t="s">
        <v>1349</v>
      </c>
      <c r="H237" t="s">
        <v>215</v>
      </c>
      <c r="J237" s="21">
        <f>Table1[[#This Row],[interactions]]/Table1[[#This Row],[Attendance]]</f>
        <v>1</v>
      </c>
    </row>
    <row r="238" spans="1:10" x14ac:dyDescent="0.2">
      <c r="A238" t="s">
        <v>11</v>
      </c>
      <c r="B238" t="s">
        <v>678</v>
      </c>
      <c r="C238" s="1">
        <v>45314</v>
      </c>
      <c r="D238" t="s">
        <v>217</v>
      </c>
      <c r="E238">
        <v>20</v>
      </c>
      <c r="F238" s="18">
        <v>20</v>
      </c>
      <c r="G238" t="s">
        <v>664</v>
      </c>
      <c r="I238" t="s">
        <v>679</v>
      </c>
      <c r="J238" s="21">
        <f>Table1[[#This Row],[interactions]]/Table1[[#This Row],[Attendance]]</f>
        <v>1</v>
      </c>
    </row>
    <row r="239" spans="1:10" x14ac:dyDescent="0.2">
      <c r="A239" t="s">
        <v>11</v>
      </c>
      <c r="B239" t="s">
        <v>218</v>
      </c>
      <c r="C239" s="1">
        <v>45294</v>
      </c>
      <c r="D239" t="s">
        <v>366</v>
      </c>
      <c r="E239">
        <v>20</v>
      </c>
      <c r="F239" s="18">
        <v>20</v>
      </c>
      <c r="H239" t="s">
        <v>215</v>
      </c>
      <c r="J239" s="21">
        <f>Table1[[#This Row],[interactions]]/Table1[[#This Row],[Attendance]]</f>
        <v>1</v>
      </c>
    </row>
    <row r="240" spans="1:10" x14ac:dyDescent="0.2">
      <c r="A240" t="s">
        <v>11</v>
      </c>
      <c r="B240" t="s">
        <v>218</v>
      </c>
      <c r="C240" s="1">
        <v>45294</v>
      </c>
      <c r="D240" t="s">
        <v>217</v>
      </c>
      <c r="E240">
        <v>20</v>
      </c>
      <c r="F240" s="18">
        <v>20</v>
      </c>
      <c r="G240" t="s">
        <v>216</v>
      </c>
      <c r="H240" t="s">
        <v>215</v>
      </c>
      <c r="I240" t="s">
        <v>631</v>
      </c>
      <c r="J240" s="21">
        <f>Table1[[#This Row],[interactions]]/Table1[[#This Row],[Attendance]]</f>
        <v>1</v>
      </c>
    </row>
    <row r="241" spans="1:10" x14ac:dyDescent="0.2">
      <c r="A241" t="s">
        <v>11</v>
      </c>
      <c r="B241" t="s">
        <v>242</v>
      </c>
      <c r="C241" s="1">
        <v>45246</v>
      </c>
      <c r="D241" t="s">
        <v>217</v>
      </c>
      <c r="E241">
        <v>20</v>
      </c>
      <c r="F241" s="18">
        <v>20</v>
      </c>
      <c r="G241" t="s">
        <v>255</v>
      </c>
      <c r="H241" t="s">
        <v>215</v>
      </c>
      <c r="I241" t="s">
        <v>631</v>
      </c>
      <c r="J241" s="21">
        <f>Table1[[#This Row],[interactions]]/Table1[[#This Row],[Attendance]]</f>
        <v>1</v>
      </c>
    </row>
    <row r="242" spans="1:10" x14ac:dyDescent="0.2">
      <c r="A242" t="s">
        <v>11</v>
      </c>
      <c r="B242" t="s">
        <v>269</v>
      </c>
      <c r="C242" s="1">
        <v>45238</v>
      </c>
      <c r="D242" t="s">
        <v>217</v>
      </c>
      <c r="E242">
        <v>20</v>
      </c>
      <c r="F242" s="18">
        <v>20</v>
      </c>
      <c r="G242" t="s">
        <v>268</v>
      </c>
      <c r="H242" t="s">
        <v>215</v>
      </c>
      <c r="I242" t="s">
        <v>631</v>
      </c>
      <c r="J242" s="21">
        <f>Table1[[#This Row],[interactions]]/Table1[[#This Row],[Attendance]]</f>
        <v>1</v>
      </c>
    </row>
    <row r="243" spans="1:10" x14ac:dyDescent="0.2">
      <c r="A243" t="s">
        <v>11</v>
      </c>
      <c r="B243" t="s">
        <v>331</v>
      </c>
      <c r="C243" s="1">
        <v>45197</v>
      </c>
      <c r="D243" t="s">
        <v>217</v>
      </c>
      <c r="E243">
        <v>20</v>
      </c>
      <c r="F243" s="18">
        <v>20</v>
      </c>
      <c r="G243" t="s">
        <v>318</v>
      </c>
      <c r="H243" t="s">
        <v>229</v>
      </c>
      <c r="I243" t="s">
        <v>631</v>
      </c>
      <c r="J243" s="21">
        <f>Table1[[#This Row],[interactions]]/Table1[[#This Row],[Attendance]]</f>
        <v>1</v>
      </c>
    </row>
    <row r="244" spans="1:10" x14ac:dyDescent="0.2">
      <c r="A244" t="s">
        <v>11</v>
      </c>
      <c r="B244" t="s">
        <v>330</v>
      </c>
      <c r="C244" s="1">
        <v>45189</v>
      </c>
      <c r="D244" t="s">
        <v>217</v>
      </c>
      <c r="E244">
        <v>20</v>
      </c>
      <c r="F244" s="18">
        <v>20</v>
      </c>
      <c r="G244" t="s">
        <v>329</v>
      </c>
      <c r="H244" t="s">
        <v>215</v>
      </c>
      <c r="I244" t="s">
        <v>631</v>
      </c>
      <c r="J244" s="21">
        <f>Table1[[#This Row],[interactions]]/Table1[[#This Row],[Attendance]]</f>
        <v>1</v>
      </c>
    </row>
    <row r="245" spans="1:10" x14ac:dyDescent="0.2">
      <c r="A245" t="s">
        <v>11</v>
      </c>
      <c r="B245" t="s">
        <v>343</v>
      </c>
      <c r="C245" s="1">
        <v>45188</v>
      </c>
      <c r="D245" t="s">
        <v>217</v>
      </c>
      <c r="E245">
        <v>20</v>
      </c>
      <c r="F245" s="18">
        <v>20</v>
      </c>
      <c r="G245" t="s">
        <v>342</v>
      </c>
      <c r="H245" t="s">
        <v>215</v>
      </c>
      <c r="I245" t="s">
        <v>631</v>
      </c>
      <c r="J245" s="21">
        <f>Table1[[#This Row],[interactions]]/Table1[[#This Row],[Attendance]]</f>
        <v>1</v>
      </c>
    </row>
    <row r="246" spans="1:10" x14ac:dyDescent="0.2">
      <c r="A246" t="s">
        <v>11</v>
      </c>
      <c r="B246" t="s">
        <v>349</v>
      </c>
      <c r="C246" s="1">
        <v>45183</v>
      </c>
      <c r="D246" t="s">
        <v>237</v>
      </c>
      <c r="E246">
        <v>20</v>
      </c>
      <c r="F246" s="18">
        <v>20</v>
      </c>
      <c r="G246" t="s">
        <v>348</v>
      </c>
      <c r="H246" t="s">
        <v>215</v>
      </c>
      <c r="I246" t="s">
        <v>631</v>
      </c>
      <c r="J246" s="21">
        <f>Table1[[#This Row],[interactions]]/Table1[[#This Row],[Attendance]]</f>
        <v>1</v>
      </c>
    </row>
    <row r="247" spans="1:10" x14ac:dyDescent="0.2">
      <c r="A247" t="s">
        <v>11</v>
      </c>
      <c r="B247" t="s">
        <v>391</v>
      </c>
      <c r="C247" s="1">
        <v>45155</v>
      </c>
      <c r="D247" t="s">
        <v>217</v>
      </c>
      <c r="E247">
        <v>20</v>
      </c>
      <c r="F247" s="18">
        <v>20</v>
      </c>
      <c r="G247" t="s">
        <v>390</v>
      </c>
      <c r="H247" t="s">
        <v>215</v>
      </c>
      <c r="I247" t="s">
        <v>631</v>
      </c>
      <c r="J247" s="21">
        <f>Table1[[#This Row],[interactions]]/Table1[[#This Row],[Attendance]]</f>
        <v>1</v>
      </c>
    </row>
    <row r="248" spans="1:10" x14ac:dyDescent="0.2">
      <c r="A248" t="s">
        <v>11</v>
      </c>
      <c r="B248" t="s">
        <v>385</v>
      </c>
      <c r="C248" s="1">
        <v>45132</v>
      </c>
      <c r="D248" t="s">
        <v>217</v>
      </c>
      <c r="E248">
        <v>20</v>
      </c>
      <c r="F248" s="18">
        <v>20</v>
      </c>
      <c r="G248" t="s">
        <v>413</v>
      </c>
      <c r="H248" t="s">
        <v>215</v>
      </c>
      <c r="I248" t="s">
        <v>631</v>
      </c>
      <c r="J248" s="21">
        <f>Table1[[#This Row],[interactions]]/Table1[[#This Row],[Attendance]]</f>
        <v>1</v>
      </c>
    </row>
    <row r="249" spans="1:10" x14ac:dyDescent="0.2">
      <c r="A249" t="s">
        <v>11</v>
      </c>
      <c r="B249" t="s">
        <v>385</v>
      </c>
      <c r="C249" s="1">
        <v>45069</v>
      </c>
      <c r="D249" t="s">
        <v>217</v>
      </c>
      <c r="E249">
        <v>20</v>
      </c>
      <c r="F249" s="18">
        <v>20</v>
      </c>
      <c r="G249" t="s">
        <v>464</v>
      </c>
      <c r="H249" t="s">
        <v>215</v>
      </c>
      <c r="I249" t="s">
        <v>631</v>
      </c>
      <c r="J249" s="21">
        <f>Table1[[#This Row],[interactions]]/Table1[[#This Row],[Attendance]]</f>
        <v>1</v>
      </c>
    </row>
    <row r="250" spans="1:10" x14ac:dyDescent="0.2">
      <c r="A250" t="s">
        <v>11</v>
      </c>
      <c r="B250" t="s">
        <v>212</v>
      </c>
      <c r="C250" s="1">
        <v>44583</v>
      </c>
      <c r="D250" t="s">
        <v>211</v>
      </c>
      <c r="E250">
        <v>20</v>
      </c>
      <c r="F250" s="18">
        <v>20</v>
      </c>
      <c r="G250" t="s">
        <v>210</v>
      </c>
      <c r="H250" t="s">
        <v>86</v>
      </c>
      <c r="I250" t="s">
        <v>631</v>
      </c>
      <c r="J250" s="21">
        <f>Table1[[#This Row],[interactions]]/Table1[[#This Row],[Attendance]]</f>
        <v>1</v>
      </c>
    </row>
    <row r="251" spans="1:10" x14ac:dyDescent="0.2">
      <c r="A251" t="s">
        <v>11</v>
      </c>
      <c r="B251" t="s">
        <v>214</v>
      </c>
      <c r="C251" s="1">
        <v>44580</v>
      </c>
      <c r="D251" t="s">
        <v>211</v>
      </c>
      <c r="E251">
        <v>20</v>
      </c>
      <c r="F251" s="18">
        <v>20</v>
      </c>
      <c r="G251" t="s">
        <v>213</v>
      </c>
      <c r="H251" t="s">
        <v>86</v>
      </c>
      <c r="I251" t="s">
        <v>631</v>
      </c>
      <c r="J251" s="21">
        <f>Table1[[#This Row],[interactions]]/Table1[[#This Row],[Attendance]]</f>
        <v>1</v>
      </c>
    </row>
    <row r="252" spans="1:10" x14ac:dyDescent="0.2">
      <c r="A252" t="s">
        <v>11</v>
      </c>
      <c r="B252" t="s">
        <v>1200</v>
      </c>
      <c r="C252" s="1">
        <v>45938</v>
      </c>
      <c r="D252" t="s">
        <v>366</v>
      </c>
      <c r="E252">
        <v>21</v>
      </c>
      <c r="F252" s="18">
        <v>21</v>
      </c>
      <c r="H252" t="s">
        <v>1392</v>
      </c>
      <c r="I252" t="s">
        <v>672</v>
      </c>
      <c r="J252" s="21">
        <f>Table1[[#This Row],[interactions]]/Table1[[#This Row],[Attendance]]</f>
        <v>1</v>
      </c>
    </row>
    <row r="253" spans="1:10" x14ac:dyDescent="0.2">
      <c r="A253" t="s">
        <v>11</v>
      </c>
      <c r="B253" t="s">
        <v>1536</v>
      </c>
      <c r="C253" s="1">
        <v>45748</v>
      </c>
      <c r="D253" t="s">
        <v>217</v>
      </c>
      <c r="E253">
        <v>22</v>
      </c>
      <c r="F253" s="18">
        <v>22</v>
      </c>
      <c r="H253" t="s">
        <v>1409</v>
      </c>
      <c r="I253" t="s">
        <v>690</v>
      </c>
      <c r="J253" s="21">
        <f>Table1[[#This Row],[interactions]]/Table1[[#This Row],[Attendance]]</f>
        <v>1</v>
      </c>
    </row>
    <row r="254" spans="1:10" x14ac:dyDescent="0.2">
      <c r="A254" t="s">
        <v>11</v>
      </c>
      <c r="B254" t="s">
        <v>1034</v>
      </c>
      <c r="C254" s="1">
        <v>45681</v>
      </c>
      <c r="D254" t="s">
        <v>366</v>
      </c>
      <c r="E254">
        <v>22</v>
      </c>
      <c r="F254" s="18">
        <v>22</v>
      </c>
      <c r="H254" t="s">
        <v>621</v>
      </c>
      <c r="I254" t="s">
        <v>648</v>
      </c>
      <c r="J254" s="21">
        <f>Table1[[#This Row],[interactions]]/Table1[[#This Row],[Attendance]]</f>
        <v>1</v>
      </c>
    </row>
    <row r="255" spans="1:10" x14ac:dyDescent="0.2">
      <c r="A255" t="s">
        <v>11</v>
      </c>
      <c r="B255" t="s">
        <v>400</v>
      </c>
      <c r="C255" s="1">
        <v>45142</v>
      </c>
      <c r="D255" t="s">
        <v>217</v>
      </c>
      <c r="E255">
        <v>22</v>
      </c>
      <c r="F255" s="18">
        <v>22</v>
      </c>
      <c r="G255" t="s">
        <v>399</v>
      </c>
      <c r="H255" t="s">
        <v>215</v>
      </c>
      <c r="I255" t="s">
        <v>631</v>
      </c>
      <c r="J255" s="21">
        <f>Table1[[#This Row],[interactions]]/Table1[[#This Row],[Attendance]]</f>
        <v>1</v>
      </c>
    </row>
    <row r="256" spans="1:10" x14ac:dyDescent="0.2">
      <c r="A256" t="s">
        <v>11</v>
      </c>
      <c r="B256" t="s">
        <v>1480</v>
      </c>
      <c r="C256" s="1">
        <v>45909</v>
      </c>
      <c r="D256" t="s">
        <v>366</v>
      </c>
      <c r="E256">
        <v>23</v>
      </c>
      <c r="F256" s="18">
        <v>23</v>
      </c>
      <c r="H256" t="s">
        <v>1392</v>
      </c>
      <c r="I256" t="s">
        <v>766</v>
      </c>
      <c r="J256" s="21">
        <f>Table1[[#This Row],[interactions]]/Table1[[#This Row],[Attendance]]</f>
        <v>1</v>
      </c>
    </row>
    <row r="257" spans="1:10" x14ac:dyDescent="0.2">
      <c r="A257" t="s">
        <v>11</v>
      </c>
      <c r="B257" t="s">
        <v>1517</v>
      </c>
      <c r="C257" s="1">
        <v>45849</v>
      </c>
      <c r="D257" t="s">
        <v>217</v>
      </c>
      <c r="E257">
        <v>23</v>
      </c>
      <c r="F257" s="18">
        <v>23</v>
      </c>
      <c r="H257" t="s">
        <v>1409</v>
      </c>
      <c r="I257" t="s">
        <v>704</v>
      </c>
      <c r="J257" s="21">
        <f>Table1[[#This Row],[interactions]]/Table1[[#This Row],[Attendance]]</f>
        <v>1</v>
      </c>
    </row>
    <row r="258" spans="1:10" x14ac:dyDescent="0.2">
      <c r="A258" t="s">
        <v>11</v>
      </c>
      <c r="B258" t="s">
        <v>1398</v>
      </c>
      <c r="C258" s="1">
        <v>45972</v>
      </c>
      <c r="D258" t="s">
        <v>366</v>
      </c>
      <c r="E258">
        <v>24</v>
      </c>
      <c r="F258" s="18">
        <v>24</v>
      </c>
      <c r="H258" t="s">
        <v>1395</v>
      </c>
      <c r="I258" t="s">
        <v>766</v>
      </c>
      <c r="J258" s="21">
        <f>Table1[[#This Row],[interactions]]/Table1[[#This Row],[Attendance]]</f>
        <v>1</v>
      </c>
    </row>
    <row r="259" spans="1:10" x14ac:dyDescent="0.2">
      <c r="A259" t="s">
        <v>11</v>
      </c>
      <c r="B259" t="s">
        <v>1389</v>
      </c>
      <c r="C259" s="1">
        <v>45945</v>
      </c>
      <c r="D259" t="s">
        <v>217</v>
      </c>
      <c r="E259">
        <v>24</v>
      </c>
      <c r="F259" s="18">
        <v>24</v>
      </c>
      <c r="H259" t="s">
        <v>1409</v>
      </c>
      <c r="I259" t="s">
        <v>1417</v>
      </c>
      <c r="J259" s="21">
        <f>Table1[[#This Row],[interactions]]/Table1[[#This Row],[Attendance]]</f>
        <v>1</v>
      </c>
    </row>
    <row r="260" spans="1:10" x14ac:dyDescent="0.2">
      <c r="A260" t="s">
        <v>11</v>
      </c>
      <c r="B260" t="s">
        <v>1468</v>
      </c>
      <c r="C260" s="1">
        <v>45912</v>
      </c>
      <c r="D260" t="s">
        <v>217</v>
      </c>
      <c r="E260">
        <v>24</v>
      </c>
      <c r="F260" s="18">
        <v>24</v>
      </c>
      <c r="H260" t="s">
        <v>1409</v>
      </c>
      <c r="I260" t="s">
        <v>1173</v>
      </c>
      <c r="J260" s="21">
        <f>Table1[[#This Row],[interactions]]/Table1[[#This Row],[Attendance]]</f>
        <v>1</v>
      </c>
    </row>
    <row r="261" spans="1:10" x14ac:dyDescent="0.2">
      <c r="A261" t="s">
        <v>11</v>
      </c>
      <c r="B261" t="s">
        <v>1416</v>
      </c>
      <c r="C261" s="1">
        <v>45945</v>
      </c>
      <c r="D261" t="s">
        <v>217</v>
      </c>
      <c r="E261">
        <v>25</v>
      </c>
      <c r="F261" s="18">
        <v>25</v>
      </c>
      <c r="H261" t="s">
        <v>1404</v>
      </c>
      <c r="I261" t="s">
        <v>1406</v>
      </c>
      <c r="J261" s="21">
        <f>Table1[[#This Row],[interactions]]/Table1[[#This Row],[Attendance]]</f>
        <v>1</v>
      </c>
    </row>
    <row r="262" spans="1:10" x14ac:dyDescent="0.2">
      <c r="A262" t="s">
        <v>11</v>
      </c>
      <c r="B262" t="s">
        <v>1389</v>
      </c>
      <c r="C262" s="1">
        <v>45917</v>
      </c>
      <c r="D262" t="s">
        <v>217</v>
      </c>
      <c r="E262">
        <v>25</v>
      </c>
      <c r="F262" s="18">
        <v>25</v>
      </c>
      <c r="H262" t="s">
        <v>1409</v>
      </c>
      <c r="I262" t="s">
        <v>1417</v>
      </c>
      <c r="J262" s="21">
        <f>Table1[[#This Row],[interactions]]/Table1[[#This Row],[Attendance]]</f>
        <v>1</v>
      </c>
    </row>
    <row r="263" spans="1:10" x14ac:dyDescent="0.2">
      <c r="A263" t="s">
        <v>11</v>
      </c>
      <c r="B263" t="s">
        <v>1498</v>
      </c>
      <c r="C263" s="1">
        <v>45896</v>
      </c>
      <c r="D263" t="s">
        <v>366</v>
      </c>
      <c r="E263">
        <v>25</v>
      </c>
      <c r="F263" s="18">
        <v>25</v>
      </c>
      <c r="H263" t="s">
        <v>621</v>
      </c>
      <c r="I263" t="s">
        <v>1499</v>
      </c>
      <c r="J263" s="21">
        <f>Table1[[#This Row],[interactions]]/Table1[[#This Row],[Attendance]]</f>
        <v>1</v>
      </c>
    </row>
    <row r="264" spans="1:10" x14ac:dyDescent="0.2">
      <c r="A264" t="s">
        <v>11</v>
      </c>
      <c r="B264" t="s">
        <v>1034</v>
      </c>
      <c r="C264" s="1">
        <v>45877</v>
      </c>
      <c r="D264" t="s">
        <v>366</v>
      </c>
      <c r="E264">
        <v>25</v>
      </c>
      <c r="F264" s="18">
        <v>25</v>
      </c>
      <c r="H264" t="s">
        <v>621</v>
      </c>
      <c r="I264" t="s">
        <v>648</v>
      </c>
      <c r="J264" s="21">
        <f>Table1[[#This Row],[interactions]]/Table1[[#This Row],[Attendance]]</f>
        <v>1</v>
      </c>
    </row>
    <row r="265" spans="1:10" x14ac:dyDescent="0.2">
      <c r="A265" t="s">
        <v>11</v>
      </c>
      <c r="B265" t="s">
        <v>1583</v>
      </c>
      <c r="C265" s="1">
        <v>45763</v>
      </c>
      <c r="D265" t="s">
        <v>217</v>
      </c>
      <c r="E265">
        <v>25</v>
      </c>
      <c r="F265" s="18">
        <v>25</v>
      </c>
      <c r="H265" t="s">
        <v>1409</v>
      </c>
      <c r="I265" t="s">
        <v>645</v>
      </c>
      <c r="J265" s="21">
        <f>Table1[[#This Row],[interactions]]/Table1[[#This Row],[Attendance]]</f>
        <v>1</v>
      </c>
    </row>
    <row r="266" spans="1:10" x14ac:dyDescent="0.2">
      <c r="A266" t="s">
        <v>11</v>
      </c>
      <c r="B266" t="s">
        <v>1034</v>
      </c>
      <c r="C266" s="1">
        <v>45744</v>
      </c>
      <c r="D266" t="s">
        <v>366</v>
      </c>
      <c r="E266">
        <v>25</v>
      </c>
      <c r="F266" s="18">
        <v>25</v>
      </c>
      <c r="H266" t="s">
        <v>621</v>
      </c>
      <c r="I266" t="s">
        <v>648</v>
      </c>
      <c r="J266" s="21">
        <f>Table1[[#This Row],[interactions]]/Table1[[#This Row],[Attendance]]</f>
        <v>1</v>
      </c>
    </row>
    <row r="267" spans="1:10" x14ac:dyDescent="0.2">
      <c r="A267" t="s">
        <v>11</v>
      </c>
      <c r="B267" t="s">
        <v>1572</v>
      </c>
      <c r="C267" s="1">
        <v>45729</v>
      </c>
      <c r="D267" t="s">
        <v>217</v>
      </c>
      <c r="E267">
        <v>25</v>
      </c>
      <c r="F267" s="18">
        <v>25</v>
      </c>
      <c r="H267" t="s">
        <v>649</v>
      </c>
      <c r="I267" t="s">
        <v>596</v>
      </c>
      <c r="J267" s="21">
        <f>Table1[[#This Row],[interactions]]/Table1[[#This Row],[Attendance]]</f>
        <v>1</v>
      </c>
    </row>
    <row r="268" spans="1:10" x14ac:dyDescent="0.2">
      <c r="A268" t="s">
        <v>11</v>
      </c>
      <c r="B268" t="s">
        <v>1034</v>
      </c>
      <c r="C268" s="1">
        <v>45716</v>
      </c>
      <c r="D268" t="s">
        <v>366</v>
      </c>
      <c r="E268">
        <v>25</v>
      </c>
      <c r="F268" s="18">
        <v>25</v>
      </c>
      <c r="H268" t="s">
        <v>621</v>
      </c>
      <c r="I268" t="s">
        <v>648</v>
      </c>
      <c r="J268" s="21">
        <f>Table1[[#This Row],[interactions]]/Table1[[#This Row],[Attendance]]</f>
        <v>1</v>
      </c>
    </row>
    <row r="269" spans="1:10" x14ac:dyDescent="0.2">
      <c r="A269" t="s">
        <v>11</v>
      </c>
      <c r="B269" t="s">
        <v>1629</v>
      </c>
      <c r="C269" s="1">
        <v>45714</v>
      </c>
      <c r="D269" t="s">
        <v>217</v>
      </c>
      <c r="E269">
        <v>25</v>
      </c>
      <c r="F269" s="18">
        <v>25</v>
      </c>
      <c r="H269" t="s">
        <v>1409</v>
      </c>
      <c r="I269" t="s">
        <v>614</v>
      </c>
      <c r="J269" s="21">
        <f>Table1[[#This Row],[interactions]]/Table1[[#This Row],[Attendance]]</f>
        <v>1</v>
      </c>
    </row>
    <row r="270" spans="1:10" x14ac:dyDescent="0.2">
      <c r="A270" t="s">
        <v>11</v>
      </c>
      <c r="B270" t="s">
        <v>1333</v>
      </c>
      <c r="C270" s="1">
        <v>45674</v>
      </c>
      <c r="D270" t="s">
        <v>217</v>
      </c>
      <c r="E270">
        <v>25</v>
      </c>
      <c r="F270" s="18">
        <v>25</v>
      </c>
      <c r="G270" t="s">
        <v>1655</v>
      </c>
      <c r="H270" t="s">
        <v>649</v>
      </c>
      <c r="I270" t="s">
        <v>596</v>
      </c>
      <c r="J270" s="21">
        <f>Table1[[#This Row],[interactions]]/Table1[[#This Row],[Attendance]]</f>
        <v>1</v>
      </c>
    </row>
    <row r="271" spans="1:10" x14ac:dyDescent="0.2">
      <c r="A271" t="s">
        <v>11</v>
      </c>
      <c r="B271" t="s">
        <v>949</v>
      </c>
      <c r="C271" s="1">
        <v>45517</v>
      </c>
      <c r="D271" t="s">
        <v>217</v>
      </c>
      <c r="E271">
        <v>25</v>
      </c>
      <c r="F271" s="18">
        <v>25</v>
      </c>
      <c r="G271" t="s">
        <v>948</v>
      </c>
      <c r="H271" t="s">
        <v>797</v>
      </c>
      <c r="I271" t="s">
        <v>766</v>
      </c>
      <c r="J271" s="21">
        <f>Table1[[#This Row],[interactions]]/Table1[[#This Row],[Attendance]]</f>
        <v>1</v>
      </c>
    </row>
    <row r="272" spans="1:10" x14ac:dyDescent="0.2">
      <c r="A272" t="s">
        <v>11</v>
      </c>
      <c r="B272" t="s">
        <v>960</v>
      </c>
      <c r="C272" s="1">
        <v>45512</v>
      </c>
      <c r="D272" t="s">
        <v>217</v>
      </c>
      <c r="E272">
        <v>25</v>
      </c>
      <c r="F272" s="18">
        <v>25</v>
      </c>
      <c r="G272" t="s">
        <v>959</v>
      </c>
      <c r="H272" t="s">
        <v>797</v>
      </c>
      <c r="I272" t="s">
        <v>719</v>
      </c>
      <c r="J272" s="21">
        <f>Table1[[#This Row],[interactions]]/Table1[[#This Row],[Attendance]]</f>
        <v>1</v>
      </c>
    </row>
    <row r="273" spans="1:10" x14ac:dyDescent="0.2">
      <c r="A273" t="s">
        <v>11</v>
      </c>
      <c r="B273" t="s">
        <v>407</v>
      </c>
      <c r="C273" s="1">
        <v>45497</v>
      </c>
      <c r="D273" t="s">
        <v>217</v>
      </c>
      <c r="E273">
        <v>25</v>
      </c>
      <c r="F273" s="18">
        <v>25</v>
      </c>
      <c r="G273" t="s">
        <v>664</v>
      </c>
      <c r="I273" t="s">
        <v>666</v>
      </c>
      <c r="J273" s="21">
        <f>Table1[[#This Row],[interactions]]/Table1[[#This Row],[Attendance]]</f>
        <v>1</v>
      </c>
    </row>
    <row r="274" spans="1:10" x14ac:dyDescent="0.2">
      <c r="A274" t="s">
        <v>11</v>
      </c>
      <c r="B274" t="s">
        <v>823</v>
      </c>
      <c r="C274" s="1">
        <v>45496</v>
      </c>
      <c r="D274" t="s">
        <v>217</v>
      </c>
      <c r="E274">
        <v>25</v>
      </c>
      <c r="F274" s="18">
        <v>25</v>
      </c>
      <c r="G274" t="s">
        <v>1019</v>
      </c>
      <c r="H274" t="s">
        <v>215</v>
      </c>
      <c r="I274" t="s">
        <v>657</v>
      </c>
      <c r="J274" s="21">
        <f>Table1[[#This Row],[interactions]]/Table1[[#This Row],[Attendance]]</f>
        <v>1</v>
      </c>
    </row>
    <row r="275" spans="1:10" x14ac:dyDescent="0.2">
      <c r="A275" t="s">
        <v>11</v>
      </c>
      <c r="B275" t="s">
        <v>1029</v>
      </c>
      <c r="C275" s="1">
        <v>45485</v>
      </c>
      <c r="D275" t="s">
        <v>217</v>
      </c>
      <c r="E275">
        <v>25</v>
      </c>
      <c r="F275" s="18">
        <v>25</v>
      </c>
      <c r="H275" t="s">
        <v>612</v>
      </c>
      <c r="I275" t="s">
        <v>704</v>
      </c>
      <c r="J275" s="21">
        <f>Table1[[#This Row],[interactions]]/Table1[[#This Row],[Attendance]]</f>
        <v>1</v>
      </c>
    </row>
    <row r="276" spans="1:10" x14ac:dyDescent="0.2">
      <c r="A276" t="s">
        <v>11</v>
      </c>
      <c r="B276" t="s">
        <v>1083</v>
      </c>
      <c r="C276" s="1">
        <v>45462</v>
      </c>
      <c r="D276" t="s">
        <v>366</v>
      </c>
      <c r="E276">
        <v>25</v>
      </c>
      <c r="F276" s="18">
        <v>25</v>
      </c>
      <c r="G276" t="s">
        <v>1082</v>
      </c>
      <c r="H276" t="s">
        <v>215</v>
      </c>
      <c r="J276" s="21">
        <f>Table1[[#This Row],[interactions]]/Table1[[#This Row],[Attendance]]</f>
        <v>1</v>
      </c>
    </row>
    <row r="277" spans="1:10" x14ac:dyDescent="0.2">
      <c r="A277" t="s">
        <v>11</v>
      </c>
      <c r="B277" t="s">
        <v>1029</v>
      </c>
      <c r="C277" s="1">
        <v>45457</v>
      </c>
      <c r="D277" t="s">
        <v>217</v>
      </c>
      <c r="E277">
        <v>25</v>
      </c>
      <c r="F277" s="18">
        <v>25</v>
      </c>
      <c r="G277" t="s">
        <v>1090</v>
      </c>
      <c r="H277" t="s">
        <v>612</v>
      </c>
      <c r="J277" s="21">
        <f>Table1[[#This Row],[interactions]]/Table1[[#This Row],[Attendance]]</f>
        <v>1</v>
      </c>
    </row>
    <row r="278" spans="1:10" x14ac:dyDescent="0.2">
      <c r="A278" t="s">
        <v>11</v>
      </c>
      <c r="B278" t="s">
        <v>960</v>
      </c>
      <c r="C278" s="1">
        <v>45421</v>
      </c>
      <c r="D278" t="s">
        <v>217</v>
      </c>
      <c r="E278">
        <v>25</v>
      </c>
      <c r="F278" s="18">
        <v>25</v>
      </c>
      <c r="G278" t="s">
        <v>1179</v>
      </c>
      <c r="H278" t="s">
        <v>1093</v>
      </c>
      <c r="J278" s="21">
        <f>Table1[[#This Row],[interactions]]/Table1[[#This Row],[Attendance]]</f>
        <v>1</v>
      </c>
    </row>
    <row r="279" spans="1:10" x14ac:dyDescent="0.2">
      <c r="A279" t="s">
        <v>11</v>
      </c>
      <c r="B279" t="s">
        <v>1243</v>
      </c>
      <c r="C279" s="1">
        <v>45393</v>
      </c>
      <c r="D279" t="s">
        <v>217</v>
      </c>
      <c r="E279">
        <v>25</v>
      </c>
      <c r="F279" s="18">
        <v>25</v>
      </c>
      <c r="G279" t="s">
        <v>1242</v>
      </c>
      <c r="H279" t="s">
        <v>1208</v>
      </c>
      <c r="J279" s="21">
        <f>Table1[[#This Row],[interactions]]/Table1[[#This Row],[Attendance]]</f>
        <v>1</v>
      </c>
    </row>
    <row r="280" spans="1:10" x14ac:dyDescent="0.2">
      <c r="A280" t="s">
        <v>11</v>
      </c>
      <c r="B280" t="s">
        <v>1249</v>
      </c>
      <c r="C280" s="1">
        <v>45391</v>
      </c>
      <c r="D280" t="s">
        <v>217</v>
      </c>
      <c r="E280">
        <v>25</v>
      </c>
      <c r="F280" s="18">
        <v>25</v>
      </c>
      <c r="H280" t="s">
        <v>1208</v>
      </c>
      <c r="J280" s="21">
        <f>Table1[[#This Row],[interactions]]/Table1[[#This Row],[Attendance]]</f>
        <v>1</v>
      </c>
    </row>
    <row r="281" spans="1:10" x14ac:dyDescent="0.2">
      <c r="A281" t="s">
        <v>11</v>
      </c>
      <c r="B281" t="s">
        <v>1309</v>
      </c>
      <c r="C281" s="1">
        <v>45364</v>
      </c>
      <c r="D281" t="s">
        <v>217</v>
      </c>
      <c r="E281">
        <v>25</v>
      </c>
      <c r="F281" s="18">
        <v>25</v>
      </c>
      <c r="G281" t="s">
        <v>1308</v>
      </c>
      <c r="H281" t="s">
        <v>215</v>
      </c>
      <c r="J281" s="21">
        <f>Table1[[#This Row],[interactions]]/Table1[[#This Row],[Attendance]]</f>
        <v>1</v>
      </c>
    </row>
    <row r="282" spans="1:10" x14ac:dyDescent="0.2">
      <c r="A282" t="s">
        <v>11</v>
      </c>
      <c r="B282" t="s">
        <v>234</v>
      </c>
      <c r="C282" s="1">
        <v>45349</v>
      </c>
      <c r="D282" t="s">
        <v>366</v>
      </c>
      <c r="E282">
        <v>25</v>
      </c>
      <c r="F282" s="18">
        <v>25</v>
      </c>
      <c r="H282" t="s">
        <v>1208</v>
      </c>
      <c r="J282" s="21">
        <f>Table1[[#This Row],[interactions]]/Table1[[#This Row],[Attendance]]</f>
        <v>1</v>
      </c>
    </row>
    <row r="283" spans="1:10" x14ac:dyDescent="0.2">
      <c r="A283" t="s">
        <v>11</v>
      </c>
      <c r="B283" t="s">
        <v>1291</v>
      </c>
      <c r="C283" s="1">
        <v>45343</v>
      </c>
      <c r="D283" t="s">
        <v>366</v>
      </c>
      <c r="E283">
        <v>25</v>
      </c>
      <c r="F283" s="18">
        <v>25</v>
      </c>
      <c r="G283" t="s">
        <v>1329</v>
      </c>
      <c r="H283" t="s">
        <v>1208</v>
      </c>
      <c r="J283" s="21">
        <f>Table1[[#This Row],[interactions]]/Table1[[#This Row],[Attendance]]</f>
        <v>1</v>
      </c>
    </row>
    <row r="284" spans="1:10" x14ac:dyDescent="0.2">
      <c r="A284" t="s">
        <v>11</v>
      </c>
      <c r="B284" t="s">
        <v>1346</v>
      </c>
      <c r="C284" s="1">
        <v>45329</v>
      </c>
      <c r="D284" t="s">
        <v>366</v>
      </c>
      <c r="E284">
        <v>25</v>
      </c>
      <c r="F284" s="18">
        <v>25</v>
      </c>
      <c r="G284" t="s">
        <v>1345</v>
      </c>
      <c r="H284" t="s">
        <v>215</v>
      </c>
      <c r="J284" s="21">
        <f>Table1[[#This Row],[interactions]]/Table1[[#This Row],[Attendance]]</f>
        <v>1</v>
      </c>
    </row>
    <row r="285" spans="1:10" x14ac:dyDescent="0.2">
      <c r="A285" t="s">
        <v>11</v>
      </c>
      <c r="B285" t="s">
        <v>1359</v>
      </c>
      <c r="C285" s="1">
        <v>45307</v>
      </c>
      <c r="D285" t="s">
        <v>366</v>
      </c>
      <c r="E285">
        <v>25</v>
      </c>
      <c r="F285" s="18">
        <v>25</v>
      </c>
      <c r="G285" t="s">
        <v>1358</v>
      </c>
      <c r="H285" t="s">
        <v>1208</v>
      </c>
      <c r="J285" s="21">
        <f>Table1[[#This Row],[interactions]]/Table1[[#This Row],[Attendance]]</f>
        <v>1</v>
      </c>
    </row>
    <row r="286" spans="1:10" x14ac:dyDescent="0.2">
      <c r="A286" t="s">
        <v>11</v>
      </c>
      <c r="B286" t="s">
        <v>296</v>
      </c>
      <c r="C286" s="1">
        <v>45216</v>
      </c>
      <c r="D286" t="s">
        <v>217</v>
      </c>
      <c r="E286">
        <v>25</v>
      </c>
      <c r="F286" s="18">
        <v>25</v>
      </c>
      <c r="G286" t="s">
        <v>295</v>
      </c>
      <c r="H286" t="s">
        <v>229</v>
      </c>
      <c r="I286" t="s">
        <v>631</v>
      </c>
      <c r="J286" s="21">
        <f>Table1[[#This Row],[interactions]]/Table1[[#This Row],[Attendance]]</f>
        <v>1</v>
      </c>
    </row>
    <row r="287" spans="1:10" x14ac:dyDescent="0.2">
      <c r="A287" t="s">
        <v>11</v>
      </c>
      <c r="B287" t="s">
        <v>341</v>
      </c>
      <c r="C287" s="1">
        <v>45188</v>
      </c>
      <c r="D287" t="s">
        <v>217</v>
      </c>
      <c r="E287">
        <v>25</v>
      </c>
      <c r="F287" s="18">
        <v>25</v>
      </c>
      <c r="G287" t="s">
        <v>340</v>
      </c>
      <c r="H287" t="s">
        <v>229</v>
      </c>
      <c r="I287" t="s">
        <v>631</v>
      </c>
      <c r="J287" s="21">
        <f>Table1[[#This Row],[interactions]]/Table1[[#This Row],[Attendance]]</f>
        <v>1</v>
      </c>
    </row>
    <row r="288" spans="1:10" x14ac:dyDescent="0.2">
      <c r="A288" t="s">
        <v>11</v>
      </c>
      <c r="B288" t="s">
        <v>369</v>
      </c>
      <c r="C288" s="1">
        <v>45168</v>
      </c>
      <c r="D288" t="s">
        <v>217</v>
      </c>
      <c r="E288">
        <v>25</v>
      </c>
      <c r="F288" s="18">
        <v>25</v>
      </c>
      <c r="G288" t="s">
        <v>368</v>
      </c>
      <c r="H288" t="s">
        <v>215</v>
      </c>
      <c r="I288" t="s">
        <v>631</v>
      </c>
      <c r="J288" s="21">
        <f>Table1[[#This Row],[interactions]]/Table1[[#This Row],[Attendance]]</f>
        <v>1</v>
      </c>
    </row>
    <row r="289" spans="1:10" x14ac:dyDescent="0.2">
      <c r="A289" t="s">
        <v>11</v>
      </c>
      <c r="B289" t="s">
        <v>385</v>
      </c>
      <c r="C289" s="1">
        <v>45160</v>
      </c>
      <c r="D289" t="s">
        <v>217</v>
      </c>
      <c r="E289">
        <v>25</v>
      </c>
      <c r="F289" s="18">
        <v>25</v>
      </c>
      <c r="G289" t="s">
        <v>384</v>
      </c>
      <c r="H289" t="s">
        <v>215</v>
      </c>
      <c r="I289" t="s">
        <v>631</v>
      </c>
      <c r="J289" s="21">
        <f>Table1[[#This Row],[interactions]]/Table1[[#This Row],[Attendance]]</f>
        <v>1</v>
      </c>
    </row>
    <row r="290" spans="1:10" x14ac:dyDescent="0.2">
      <c r="A290" t="s">
        <v>11</v>
      </c>
      <c r="B290" t="s">
        <v>393</v>
      </c>
      <c r="C290" s="1">
        <v>45155</v>
      </c>
      <c r="D290" t="s">
        <v>217</v>
      </c>
      <c r="E290">
        <v>25</v>
      </c>
      <c r="F290" s="18">
        <v>25</v>
      </c>
      <c r="G290" t="s">
        <v>392</v>
      </c>
      <c r="H290" t="s">
        <v>215</v>
      </c>
      <c r="I290" t="s">
        <v>631</v>
      </c>
      <c r="J290" s="21">
        <f>Table1[[#This Row],[interactions]]/Table1[[#This Row],[Attendance]]</f>
        <v>1</v>
      </c>
    </row>
    <row r="291" spans="1:10" x14ac:dyDescent="0.2">
      <c r="A291" t="s">
        <v>11</v>
      </c>
      <c r="B291" t="s">
        <v>417</v>
      </c>
      <c r="C291" s="1">
        <v>45125</v>
      </c>
      <c r="D291" t="s">
        <v>217</v>
      </c>
      <c r="E291">
        <v>25</v>
      </c>
      <c r="F291" s="18">
        <v>25</v>
      </c>
      <c r="G291" t="s">
        <v>416</v>
      </c>
      <c r="H291" t="s">
        <v>215</v>
      </c>
      <c r="I291" t="s">
        <v>631</v>
      </c>
      <c r="J291" s="21">
        <f>Table1[[#This Row],[interactions]]/Table1[[#This Row],[Attendance]]</f>
        <v>1</v>
      </c>
    </row>
    <row r="292" spans="1:10" x14ac:dyDescent="0.2">
      <c r="A292" t="s">
        <v>11</v>
      </c>
      <c r="B292" t="s">
        <v>456</v>
      </c>
      <c r="C292" s="1">
        <v>45084</v>
      </c>
      <c r="D292" t="s">
        <v>217</v>
      </c>
      <c r="E292">
        <v>25</v>
      </c>
      <c r="F292" s="18">
        <v>25</v>
      </c>
      <c r="G292" t="s">
        <v>455</v>
      </c>
      <c r="H292" t="s">
        <v>215</v>
      </c>
      <c r="I292" t="s">
        <v>631</v>
      </c>
      <c r="J292" s="21">
        <f>Table1[[#This Row],[interactions]]/Table1[[#This Row],[Attendance]]</f>
        <v>1</v>
      </c>
    </row>
    <row r="293" spans="1:10" x14ac:dyDescent="0.2">
      <c r="A293" t="s">
        <v>11</v>
      </c>
      <c r="B293" t="s">
        <v>218</v>
      </c>
      <c r="C293" s="1">
        <v>45063</v>
      </c>
      <c r="D293" t="s">
        <v>237</v>
      </c>
      <c r="E293">
        <v>25</v>
      </c>
      <c r="F293" s="18">
        <v>25</v>
      </c>
      <c r="G293" t="s">
        <v>469</v>
      </c>
      <c r="H293" t="s">
        <v>215</v>
      </c>
      <c r="I293" t="s">
        <v>631</v>
      </c>
      <c r="J293" s="21">
        <f>Table1[[#This Row],[interactions]]/Table1[[#This Row],[Attendance]]</f>
        <v>1</v>
      </c>
    </row>
    <row r="294" spans="1:10" x14ac:dyDescent="0.2">
      <c r="A294" t="s">
        <v>11</v>
      </c>
      <c r="B294" t="s">
        <v>1459</v>
      </c>
      <c r="C294" s="1">
        <v>45919</v>
      </c>
      <c r="D294" t="s">
        <v>217</v>
      </c>
      <c r="E294">
        <v>27</v>
      </c>
      <c r="F294" s="18">
        <v>27</v>
      </c>
      <c r="H294" t="s">
        <v>1458</v>
      </c>
      <c r="I294" t="s">
        <v>639</v>
      </c>
      <c r="J294" s="21">
        <f>Table1[[#This Row],[interactions]]/Table1[[#This Row],[Attendance]]</f>
        <v>1</v>
      </c>
    </row>
    <row r="295" spans="1:10" x14ac:dyDescent="0.2">
      <c r="A295" t="s">
        <v>11</v>
      </c>
      <c r="B295" t="s">
        <v>696</v>
      </c>
      <c r="C295" s="1">
        <v>45756</v>
      </c>
      <c r="D295" t="s">
        <v>366</v>
      </c>
      <c r="E295">
        <v>27</v>
      </c>
      <c r="F295" s="18">
        <v>27</v>
      </c>
      <c r="H295" t="s">
        <v>608</v>
      </c>
      <c r="I295" t="s">
        <v>697</v>
      </c>
      <c r="J295" s="21">
        <f>Table1[[#This Row],[interactions]]/Table1[[#This Row],[Attendance]]</f>
        <v>1</v>
      </c>
    </row>
    <row r="296" spans="1:10" x14ac:dyDescent="0.2">
      <c r="A296" t="s">
        <v>11</v>
      </c>
      <c r="B296" t="s">
        <v>345</v>
      </c>
      <c r="C296" s="1">
        <v>45128</v>
      </c>
      <c r="D296" t="s">
        <v>217</v>
      </c>
      <c r="E296">
        <v>27</v>
      </c>
      <c r="F296" s="18">
        <v>27</v>
      </c>
      <c r="G296" t="s">
        <v>414</v>
      </c>
      <c r="H296" t="s">
        <v>215</v>
      </c>
      <c r="I296" t="s">
        <v>631</v>
      </c>
      <c r="J296" s="21">
        <f>Table1[[#This Row],[interactions]]/Table1[[#This Row],[Attendance]]</f>
        <v>1</v>
      </c>
    </row>
    <row r="297" spans="1:10" x14ac:dyDescent="0.2">
      <c r="A297" t="s">
        <v>11</v>
      </c>
      <c r="B297" t="s">
        <v>1602</v>
      </c>
      <c r="C297" s="1">
        <v>45735</v>
      </c>
      <c r="D297" t="s">
        <v>366</v>
      </c>
      <c r="E297">
        <v>28</v>
      </c>
      <c r="F297" s="18">
        <v>28</v>
      </c>
      <c r="H297" t="s">
        <v>621</v>
      </c>
      <c r="I297" t="s">
        <v>802</v>
      </c>
      <c r="J297" s="21">
        <f>Table1[[#This Row],[interactions]]/Table1[[#This Row],[Attendance]]</f>
        <v>1</v>
      </c>
    </row>
    <row r="298" spans="1:10" x14ac:dyDescent="0.2">
      <c r="A298" t="s">
        <v>11</v>
      </c>
      <c r="B298" t="s">
        <v>1100</v>
      </c>
      <c r="C298" s="1">
        <v>45456</v>
      </c>
      <c r="D298" t="s">
        <v>217</v>
      </c>
      <c r="E298">
        <v>28</v>
      </c>
      <c r="F298" s="18">
        <v>28</v>
      </c>
      <c r="G298" t="s">
        <v>1099</v>
      </c>
      <c r="H298" t="s">
        <v>612</v>
      </c>
      <c r="J298" s="21">
        <f>Table1[[#This Row],[interactions]]/Table1[[#This Row],[Attendance]]</f>
        <v>1</v>
      </c>
    </row>
    <row r="299" spans="1:10" x14ac:dyDescent="0.2">
      <c r="A299" t="s">
        <v>11</v>
      </c>
      <c r="B299" t="s">
        <v>494</v>
      </c>
      <c r="C299" s="1">
        <v>46123</v>
      </c>
      <c r="D299" t="s">
        <v>366</v>
      </c>
      <c r="E299">
        <v>30</v>
      </c>
      <c r="F299" s="18">
        <v>30</v>
      </c>
      <c r="G299" t="s">
        <v>493</v>
      </c>
      <c r="H299" t="s">
        <v>490</v>
      </c>
      <c r="I299" t="s">
        <v>631</v>
      </c>
      <c r="J299" s="21">
        <f>Table1[[#This Row],[interactions]]/Table1[[#This Row],[Attendance]]</f>
        <v>1</v>
      </c>
    </row>
    <row r="300" spans="1:10" x14ac:dyDescent="0.2">
      <c r="A300" t="s">
        <v>11</v>
      </c>
      <c r="B300" t="s">
        <v>1034</v>
      </c>
      <c r="C300" s="1">
        <v>45912</v>
      </c>
      <c r="D300" t="s">
        <v>366</v>
      </c>
      <c r="E300">
        <v>30</v>
      </c>
      <c r="F300" s="18">
        <v>30</v>
      </c>
      <c r="H300" t="s">
        <v>621</v>
      </c>
      <c r="I300" t="s">
        <v>648</v>
      </c>
      <c r="J300" s="21">
        <f>Table1[[#This Row],[interactions]]/Table1[[#This Row],[Attendance]]</f>
        <v>1</v>
      </c>
    </row>
    <row r="301" spans="1:10" x14ac:dyDescent="0.2">
      <c r="A301" t="s">
        <v>11</v>
      </c>
      <c r="B301" t="s">
        <v>653</v>
      </c>
      <c r="C301" s="1">
        <v>45884</v>
      </c>
      <c r="D301" t="s">
        <v>366</v>
      </c>
      <c r="E301">
        <v>30</v>
      </c>
      <c r="F301" s="18">
        <v>30</v>
      </c>
      <c r="H301" t="s">
        <v>621</v>
      </c>
      <c r="I301" t="s">
        <v>648</v>
      </c>
      <c r="J301" s="21">
        <f>Table1[[#This Row],[interactions]]/Table1[[#This Row],[Attendance]]</f>
        <v>1</v>
      </c>
    </row>
    <row r="302" spans="1:10" x14ac:dyDescent="0.2">
      <c r="A302" t="s">
        <v>11</v>
      </c>
      <c r="B302" t="s">
        <v>1034</v>
      </c>
      <c r="C302" s="1">
        <v>45849</v>
      </c>
      <c r="D302" t="s">
        <v>366</v>
      </c>
      <c r="E302">
        <v>30</v>
      </c>
      <c r="F302" s="18">
        <v>30</v>
      </c>
      <c r="H302" t="s">
        <v>621</v>
      </c>
      <c r="I302" t="s">
        <v>648</v>
      </c>
      <c r="J302" s="21">
        <f>Table1[[#This Row],[interactions]]/Table1[[#This Row],[Attendance]]</f>
        <v>1</v>
      </c>
    </row>
    <row r="303" spans="1:10" x14ac:dyDescent="0.2">
      <c r="A303" t="s">
        <v>11</v>
      </c>
      <c r="B303" t="s">
        <v>1572</v>
      </c>
      <c r="C303" s="1">
        <v>45785</v>
      </c>
      <c r="D303" t="s">
        <v>217</v>
      </c>
      <c r="E303">
        <v>30</v>
      </c>
      <c r="F303" s="18">
        <v>30</v>
      </c>
      <c r="H303" t="s">
        <v>1571</v>
      </c>
      <c r="I303" t="s">
        <v>596</v>
      </c>
      <c r="J303" s="21">
        <f>Table1[[#This Row],[interactions]]/Table1[[#This Row],[Attendance]]</f>
        <v>1</v>
      </c>
    </row>
    <row r="304" spans="1:10" x14ac:dyDescent="0.2">
      <c r="A304" t="s">
        <v>11</v>
      </c>
      <c r="B304" t="s">
        <v>776</v>
      </c>
      <c r="C304" s="1">
        <v>45778</v>
      </c>
      <c r="D304" t="s">
        <v>366</v>
      </c>
      <c r="E304">
        <v>30</v>
      </c>
      <c r="F304" s="18">
        <v>30</v>
      </c>
      <c r="H304" t="s">
        <v>608</v>
      </c>
      <c r="I304" t="s">
        <v>697</v>
      </c>
      <c r="J304" s="21">
        <f>Table1[[#This Row],[interactions]]/Table1[[#This Row],[Attendance]]</f>
        <v>1</v>
      </c>
    </row>
    <row r="305" spans="1:10" x14ac:dyDescent="0.2">
      <c r="A305" t="s">
        <v>11</v>
      </c>
      <c r="B305" t="s">
        <v>1010</v>
      </c>
      <c r="C305" s="1">
        <v>45750</v>
      </c>
      <c r="D305" t="s">
        <v>366</v>
      </c>
      <c r="E305">
        <v>30</v>
      </c>
      <c r="F305" s="18">
        <v>30</v>
      </c>
      <c r="H305" t="s">
        <v>621</v>
      </c>
      <c r="I305" t="s">
        <v>802</v>
      </c>
      <c r="J305" s="21">
        <f>Table1[[#This Row],[interactions]]/Table1[[#This Row],[Attendance]]</f>
        <v>1</v>
      </c>
    </row>
    <row r="306" spans="1:10" x14ac:dyDescent="0.2">
      <c r="A306" t="s">
        <v>11</v>
      </c>
      <c r="B306" t="s">
        <v>1570</v>
      </c>
      <c r="C306" s="1">
        <v>45729</v>
      </c>
      <c r="D306" t="s">
        <v>366</v>
      </c>
      <c r="E306">
        <v>30</v>
      </c>
      <c r="F306" s="18">
        <v>30</v>
      </c>
      <c r="H306" t="s">
        <v>1409</v>
      </c>
      <c r="I306" t="s">
        <v>690</v>
      </c>
      <c r="J306" s="21">
        <f>Table1[[#This Row],[interactions]]/Table1[[#This Row],[Attendance]]</f>
        <v>1</v>
      </c>
    </row>
    <row r="307" spans="1:10" x14ac:dyDescent="0.2">
      <c r="A307" t="s">
        <v>11</v>
      </c>
      <c r="B307" t="s">
        <v>1631</v>
      </c>
      <c r="C307" s="1">
        <v>45713</v>
      </c>
      <c r="D307" t="s">
        <v>225</v>
      </c>
      <c r="E307">
        <v>30</v>
      </c>
      <c r="F307" s="18">
        <v>30</v>
      </c>
      <c r="H307" t="s">
        <v>649</v>
      </c>
      <c r="I307" t="s">
        <v>657</v>
      </c>
      <c r="J307" s="21">
        <f>Table1[[#This Row],[interactions]]/Table1[[#This Row],[Attendance]]</f>
        <v>1</v>
      </c>
    </row>
    <row r="308" spans="1:10" x14ac:dyDescent="0.2">
      <c r="A308" t="s">
        <v>11</v>
      </c>
      <c r="B308" t="s">
        <v>1034</v>
      </c>
      <c r="C308" s="1">
        <v>45702</v>
      </c>
      <c r="D308" t="s">
        <v>366</v>
      </c>
      <c r="E308">
        <v>30</v>
      </c>
      <c r="F308" s="18">
        <v>30</v>
      </c>
      <c r="G308" t="s">
        <v>1640</v>
      </c>
      <c r="H308" t="s">
        <v>621</v>
      </c>
      <c r="I308" t="s">
        <v>648</v>
      </c>
      <c r="J308" s="21">
        <f>Table1[[#This Row],[interactions]]/Table1[[#This Row],[Attendance]]</f>
        <v>1</v>
      </c>
    </row>
    <row r="309" spans="1:10" x14ac:dyDescent="0.2">
      <c r="A309" t="s">
        <v>11</v>
      </c>
      <c r="B309" t="s">
        <v>695</v>
      </c>
      <c r="C309" s="1">
        <v>45610</v>
      </c>
      <c r="D309" t="s">
        <v>217</v>
      </c>
      <c r="E309">
        <v>30</v>
      </c>
      <c r="F309" s="18">
        <v>30</v>
      </c>
      <c r="H309" t="s">
        <v>215</v>
      </c>
      <c r="I309" t="s">
        <v>596</v>
      </c>
      <c r="J309" s="21">
        <f>Table1[[#This Row],[interactions]]/Table1[[#This Row],[Attendance]]</f>
        <v>1</v>
      </c>
    </row>
    <row r="310" spans="1:10" x14ac:dyDescent="0.2">
      <c r="A310" t="s">
        <v>11</v>
      </c>
      <c r="B310" t="s">
        <v>696</v>
      </c>
      <c r="C310" s="1">
        <v>45609</v>
      </c>
      <c r="D310" t="s">
        <v>366</v>
      </c>
      <c r="E310">
        <v>30</v>
      </c>
      <c r="F310" s="18">
        <v>30</v>
      </c>
      <c r="H310" t="s">
        <v>608</v>
      </c>
      <c r="I310" t="s">
        <v>697</v>
      </c>
      <c r="J310" s="21">
        <f>Table1[[#This Row],[interactions]]/Table1[[#This Row],[Attendance]]</f>
        <v>1</v>
      </c>
    </row>
    <row r="311" spans="1:10" x14ac:dyDescent="0.2">
      <c r="A311" t="s">
        <v>11</v>
      </c>
      <c r="B311" t="s">
        <v>703</v>
      </c>
      <c r="C311" s="1">
        <v>45604</v>
      </c>
      <c r="D311" t="s">
        <v>217</v>
      </c>
      <c r="E311">
        <v>30</v>
      </c>
      <c r="F311" s="18">
        <v>30</v>
      </c>
      <c r="H311" t="s">
        <v>612</v>
      </c>
      <c r="I311" t="s">
        <v>704</v>
      </c>
      <c r="J311" s="21">
        <f>Table1[[#This Row],[interactions]]/Table1[[#This Row],[Attendance]]</f>
        <v>1</v>
      </c>
    </row>
    <row r="312" spans="1:10" x14ac:dyDescent="0.2">
      <c r="A312" t="s">
        <v>11</v>
      </c>
      <c r="B312" t="s">
        <v>595</v>
      </c>
      <c r="C312" s="1">
        <v>45593</v>
      </c>
      <c r="D312" t="s">
        <v>366</v>
      </c>
      <c r="E312">
        <v>30</v>
      </c>
      <c r="F312" s="18">
        <v>30</v>
      </c>
      <c r="G312" t="s">
        <v>594</v>
      </c>
      <c r="H312" t="s">
        <v>490</v>
      </c>
      <c r="I312" t="s">
        <v>596</v>
      </c>
      <c r="J312" s="21">
        <f>Table1[[#This Row],[interactions]]/Table1[[#This Row],[Attendance]]</f>
        <v>1</v>
      </c>
    </row>
    <row r="313" spans="1:10" x14ac:dyDescent="0.2">
      <c r="A313" t="s">
        <v>11</v>
      </c>
      <c r="B313" t="s">
        <v>776</v>
      </c>
      <c r="C313" s="1">
        <v>45569</v>
      </c>
      <c r="D313" t="s">
        <v>217</v>
      </c>
      <c r="E313">
        <v>30</v>
      </c>
      <c r="F313" s="18">
        <v>30</v>
      </c>
      <c r="G313" t="s">
        <v>775</v>
      </c>
      <c r="I313" t="s">
        <v>697</v>
      </c>
      <c r="J313" s="21">
        <f>Table1[[#This Row],[interactions]]/Table1[[#This Row],[Attendance]]</f>
        <v>1</v>
      </c>
    </row>
    <row r="314" spans="1:10" x14ac:dyDescent="0.2">
      <c r="A314" t="s">
        <v>11</v>
      </c>
      <c r="B314" t="s">
        <v>794</v>
      </c>
      <c r="C314" s="1">
        <v>45565</v>
      </c>
      <c r="D314" t="s">
        <v>217</v>
      </c>
      <c r="E314">
        <v>30</v>
      </c>
      <c r="F314" s="18">
        <v>30</v>
      </c>
      <c r="H314" t="s">
        <v>215</v>
      </c>
      <c r="I314" t="s">
        <v>596</v>
      </c>
      <c r="J314" s="21">
        <f>Table1[[#This Row],[interactions]]/Table1[[#This Row],[Attendance]]</f>
        <v>1</v>
      </c>
    </row>
    <row r="315" spans="1:10" x14ac:dyDescent="0.2">
      <c r="A315" t="s">
        <v>11</v>
      </c>
      <c r="B315" t="s">
        <v>807</v>
      </c>
      <c r="C315" s="1">
        <v>45560</v>
      </c>
      <c r="D315" t="s">
        <v>217</v>
      </c>
      <c r="E315">
        <v>30</v>
      </c>
      <c r="F315" s="18">
        <v>30</v>
      </c>
      <c r="G315" t="s">
        <v>806</v>
      </c>
      <c r="H315" t="s">
        <v>797</v>
      </c>
      <c r="I315" t="s">
        <v>687</v>
      </c>
      <c r="J315" s="21">
        <f>Table1[[#This Row],[interactions]]/Table1[[#This Row],[Attendance]]</f>
        <v>1</v>
      </c>
    </row>
    <row r="316" spans="1:10" x14ac:dyDescent="0.2">
      <c r="A316" t="s">
        <v>11</v>
      </c>
      <c r="B316" t="s">
        <v>852</v>
      </c>
      <c r="C316" s="1">
        <v>45549</v>
      </c>
      <c r="D316" t="s">
        <v>851</v>
      </c>
      <c r="E316">
        <v>30</v>
      </c>
      <c r="F316" s="18">
        <v>30</v>
      </c>
      <c r="G316" t="s">
        <v>850</v>
      </c>
      <c r="H316" t="s">
        <v>215</v>
      </c>
      <c r="I316" t="s">
        <v>593</v>
      </c>
      <c r="J316" s="21">
        <f>Table1[[#This Row],[interactions]]/Table1[[#This Row],[Attendance]]</f>
        <v>1</v>
      </c>
    </row>
    <row r="317" spans="1:10" x14ac:dyDescent="0.2">
      <c r="A317" t="s">
        <v>11</v>
      </c>
      <c r="B317" t="s">
        <v>860</v>
      </c>
      <c r="C317" s="1">
        <v>45548</v>
      </c>
      <c r="D317" t="s">
        <v>217</v>
      </c>
      <c r="E317">
        <v>30</v>
      </c>
      <c r="F317" s="18">
        <v>30</v>
      </c>
      <c r="G317" t="s">
        <v>859</v>
      </c>
      <c r="H317" t="s">
        <v>612</v>
      </c>
      <c r="I317" t="s">
        <v>704</v>
      </c>
      <c r="J317" s="21">
        <f>Table1[[#This Row],[interactions]]/Table1[[#This Row],[Attendance]]</f>
        <v>1</v>
      </c>
    </row>
    <row r="318" spans="1:10" x14ac:dyDescent="0.2">
      <c r="A318" t="s">
        <v>11</v>
      </c>
      <c r="B318" t="s">
        <v>787</v>
      </c>
      <c r="C318" s="1">
        <v>45540</v>
      </c>
      <c r="D318" t="s">
        <v>366</v>
      </c>
      <c r="E318">
        <v>30</v>
      </c>
      <c r="F318" s="18">
        <v>30</v>
      </c>
      <c r="G318" t="s">
        <v>892</v>
      </c>
      <c r="H318" t="s">
        <v>621</v>
      </c>
      <c r="I318" t="s">
        <v>675</v>
      </c>
      <c r="J318" s="21">
        <f>Table1[[#This Row],[interactions]]/Table1[[#This Row],[Attendance]]</f>
        <v>1</v>
      </c>
    </row>
    <row r="319" spans="1:10" x14ac:dyDescent="0.2">
      <c r="A319" t="s">
        <v>11</v>
      </c>
      <c r="B319" t="s">
        <v>901</v>
      </c>
      <c r="C319" s="1">
        <v>45534</v>
      </c>
      <c r="D319" t="s">
        <v>217</v>
      </c>
      <c r="E319">
        <v>30</v>
      </c>
      <c r="F319" s="18">
        <v>30</v>
      </c>
      <c r="H319" t="s">
        <v>215</v>
      </c>
      <c r="I319" t="s">
        <v>596</v>
      </c>
      <c r="J319" s="21">
        <f>Table1[[#This Row],[interactions]]/Table1[[#This Row],[Attendance]]</f>
        <v>1</v>
      </c>
    </row>
    <row r="320" spans="1:10" x14ac:dyDescent="0.2">
      <c r="A320" t="s">
        <v>11</v>
      </c>
      <c r="B320" t="s">
        <v>940</v>
      </c>
      <c r="C320" s="1">
        <v>45520</v>
      </c>
      <c r="D320" t="s">
        <v>366</v>
      </c>
      <c r="E320">
        <v>30</v>
      </c>
      <c r="F320" s="18">
        <v>30</v>
      </c>
      <c r="G320" t="s">
        <v>939</v>
      </c>
      <c r="H320" t="s">
        <v>215</v>
      </c>
      <c r="I320" t="s">
        <v>593</v>
      </c>
      <c r="J320" s="21">
        <f>Table1[[#This Row],[interactions]]/Table1[[#This Row],[Attendance]]</f>
        <v>1</v>
      </c>
    </row>
    <row r="321" spans="1:10" x14ac:dyDescent="0.2">
      <c r="A321" t="s">
        <v>11</v>
      </c>
      <c r="B321" t="s">
        <v>891</v>
      </c>
      <c r="C321" s="1">
        <v>45519</v>
      </c>
      <c r="D321" t="s">
        <v>217</v>
      </c>
      <c r="E321">
        <v>30</v>
      </c>
      <c r="F321" s="18">
        <v>30</v>
      </c>
      <c r="G321" t="s">
        <v>943</v>
      </c>
      <c r="H321" t="s">
        <v>215</v>
      </c>
      <c r="I321" t="s">
        <v>651</v>
      </c>
      <c r="J321" s="21">
        <f>Table1[[#This Row],[interactions]]/Table1[[#This Row],[Attendance]]</f>
        <v>1</v>
      </c>
    </row>
    <row r="322" spans="1:10" x14ac:dyDescent="0.2">
      <c r="A322" t="s">
        <v>11</v>
      </c>
      <c r="B322" t="s">
        <v>958</v>
      </c>
      <c r="C322" s="1">
        <v>45512</v>
      </c>
      <c r="D322" t="s">
        <v>217</v>
      </c>
      <c r="E322">
        <v>30</v>
      </c>
      <c r="F322" s="18">
        <v>30</v>
      </c>
      <c r="G322" t="s">
        <v>957</v>
      </c>
      <c r="H322" t="s">
        <v>215</v>
      </c>
      <c r="I322" t="s">
        <v>596</v>
      </c>
      <c r="J322" s="21">
        <f>Table1[[#This Row],[interactions]]/Table1[[#This Row],[Attendance]]</f>
        <v>1</v>
      </c>
    </row>
    <row r="323" spans="1:10" x14ac:dyDescent="0.2">
      <c r="A323" t="s">
        <v>11</v>
      </c>
      <c r="B323" t="s">
        <v>972</v>
      </c>
      <c r="C323" s="1">
        <v>45510</v>
      </c>
      <c r="D323" t="s">
        <v>366</v>
      </c>
      <c r="E323">
        <v>30</v>
      </c>
      <c r="F323" s="18">
        <v>30</v>
      </c>
      <c r="G323" t="s">
        <v>971</v>
      </c>
      <c r="H323" t="s">
        <v>621</v>
      </c>
      <c r="I323" t="s">
        <v>623</v>
      </c>
      <c r="J323" s="21">
        <f>Table1[[#This Row],[interactions]]/Table1[[#This Row],[Attendance]]</f>
        <v>1</v>
      </c>
    </row>
    <row r="324" spans="1:10" x14ac:dyDescent="0.2">
      <c r="A324" t="s">
        <v>11</v>
      </c>
      <c r="B324" t="s">
        <v>972</v>
      </c>
      <c r="C324" s="1">
        <v>45503</v>
      </c>
      <c r="D324" t="s">
        <v>366</v>
      </c>
      <c r="E324">
        <v>30</v>
      </c>
      <c r="F324" s="18">
        <v>30</v>
      </c>
      <c r="G324" t="s">
        <v>995</v>
      </c>
      <c r="H324" t="s">
        <v>621</v>
      </c>
      <c r="I324" t="s">
        <v>623</v>
      </c>
      <c r="J324" s="21">
        <f>Table1[[#This Row],[interactions]]/Table1[[#This Row],[Attendance]]</f>
        <v>1</v>
      </c>
    </row>
    <row r="325" spans="1:10" x14ac:dyDescent="0.2">
      <c r="A325" t="s">
        <v>11</v>
      </c>
      <c r="B325" t="s">
        <v>1031</v>
      </c>
      <c r="C325" s="1">
        <v>45485</v>
      </c>
      <c r="D325" t="s">
        <v>217</v>
      </c>
      <c r="E325">
        <v>30</v>
      </c>
      <c r="F325" s="18">
        <v>30</v>
      </c>
      <c r="G325" t="s">
        <v>1030</v>
      </c>
      <c r="H325" t="s">
        <v>215</v>
      </c>
      <c r="I325" t="s">
        <v>593</v>
      </c>
      <c r="J325" s="21">
        <f>Table1[[#This Row],[interactions]]/Table1[[#This Row],[Attendance]]</f>
        <v>1</v>
      </c>
    </row>
    <row r="326" spans="1:10" x14ac:dyDescent="0.2">
      <c r="A326" t="s">
        <v>11</v>
      </c>
      <c r="B326" t="s">
        <v>1042</v>
      </c>
      <c r="C326" s="1">
        <v>45483</v>
      </c>
      <c r="D326" t="s">
        <v>217</v>
      </c>
      <c r="E326">
        <v>30</v>
      </c>
      <c r="F326" s="18">
        <v>30</v>
      </c>
      <c r="G326" t="s">
        <v>1041</v>
      </c>
      <c r="H326" t="s">
        <v>797</v>
      </c>
      <c r="I326" t="s">
        <v>1043</v>
      </c>
      <c r="J326" s="21">
        <f>Table1[[#This Row],[interactions]]/Table1[[#This Row],[Attendance]]</f>
        <v>1</v>
      </c>
    </row>
    <row r="327" spans="1:10" x14ac:dyDescent="0.2">
      <c r="A327" t="s">
        <v>11</v>
      </c>
      <c r="B327" t="s">
        <v>1060</v>
      </c>
      <c r="C327" s="1">
        <v>45476</v>
      </c>
      <c r="D327" t="s">
        <v>217</v>
      </c>
      <c r="E327">
        <v>30</v>
      </c>
      <c r="F327" s="18">
        <v>30</v>
      </c>
      <c r="G327" t="s">
        <v>1059</v>
      </c>
      <c r="H327" t="s">
        <v>215</v>
      </c>
      <c r="I327" t="s">
        <v>593</v>
      </c>
      <c r="J327" s="21">
        <f>Table1[[#This Row],[interactions]]/Table1[[#This Row],[Attendance]]</f>
        <v>1</v>
      </c>
    </row>
    <row r="328" spans="1:10" x14ac:dyDescent="0.2">
      <c r="A328" t="s">
        <v>11</v>
      </c>
      <c r="B328" t="s">
        <v>960</v>
      </c>
      <c r="C328" s="1">
        <v>45456</v>
      </c>
      <c r="D328" t="s">
        <v>217</v>
      </c>
      <c r="E328">
        <v>30</v>
      </c>
      <c r="F328" s="18">
        <v>30</v>
      </c>
      <c r="G328" t="s">
        <v>1094</v>
      </c>
      <c r="H328" t="s">
        <v>1093</v>
      </c>
      <c r="J328" s="21">
        <f>Table1[[#This Row],[interactions]]/Table1[[#This Row],[Attendance]]</f>
        <v>1</v>
      </c>
    </row>
    <row r="329" spans="1:10" x14ac:dyDescent="0.2">
      <c r="A329" t="s">
        <v>11</v>
      </c>
      <c r="B329" t="s">
        <v>249</v>
      </c>
      <c r="C329" s="1">
        <v>45415</v>
      </c>
      <c r="D329" t="s">
        <v>217</v>
      </c>
      <c r="E329">
        <v>30</v>
      </c>
      <c r="F329" s="18">
        <v>30</v>
      </c>
      <c r="G329" t="s">
        <v>1189</v>
      </c>
      <c r="H329" t="s">
        <v>490</v>
      </c>
      <c r="J329" s="21">
        <f>Table1[[#This Row],[interactions]]/Table1[[#This Row],[Attendance]]</f>
        <v>1</v>
      </c>
    </row>
    <row r="330" spans="1:10" x14ac:dyDescent="0.2">
      <c r="A330" t="s">
        <v>11</v>
      </c>
      <c r="B330" t="s">
        <v>1322</v>
      </c>
      <c r="C330" s="1">
        <v>45349</v>
      </c>
      <c r="D330" t="s">
        <v>217</v>
      </c>
      <c r="E330">
        <v>30</v>
      </c>
      <c r="F330" s="18">
        <v>30</v>
      </c>
      <c r="G330" t="s">
        <v>1315</v>
      </c>
      <c r="H330" t="s">
        <v>215</v>
      </c>
      <c r="J330" s="21">
        <f>Table1[[#This Row],[interactions]]/Table1[[#This Row],[Attendance]]</f>
        <v>1</v>
      </c>
    </row>
    <row r="331" spans="1:10" x14ac:dyDescent="0.2">
      <c r="A331" t="s">
        <v>11</v>
      </c>
      <c r="B331" t="s">
        <v>738</v>
      </c>
      <c r="C331" s="1">
        <v>45314</v>
      </c>
      <c r="D331" t="s">
        <v>366</v>
      </c>
      <c r="E331">
        <v>30</v>
      </c>
      <c r="F331" s="18">
        <v>30</v>
      </c>
      <c r="G331" t="s">
        <v>1351</v>
      </c>
      <c r="H331" t="s">
        <v>1208</v>
      </c>
      <c r="J331" s="21">
        <f>Table1[[#This Row],[interactions]]/Table1[[#This Row],[Attendance]]</f>
        <v>1</v>
      </c>
    </row>
    <row r="332" spans="1:10" x14ac:dyDescent="0.2">
      <c r="A332" t="s">
        <v>11</v>
      </c>
      <c r="B332" t="s">
        <v>1357</v>
      </c>
      <c r="C332" s="1">
        <v>45308</v>
      </c>
      <c r="D332" t="s">
        <v>366</v>
      </c>
      <c r="E332">
        <v>30</v>
      </c>
      <c r="F332" s="18">
        <v>30</v>
      </c>
      <c r="G332" t="s">
        <v>1356</v>
      </c>
      <c r="H332" t="s">
        <v>1208</v>
      </c>
      <c r="J332" s="21">
        <f>Table1[[#This Row],[interactions]]/Table1[[#This Row],[Attendance]]</f>
        <v>1</v>
      </c>
    </row>
    <row r="333" spans="1:10" x14ac:dyDescent="0.2">
      <c r="A333" t="s">
        <v>11</v>
      </c>
      <c r="B333" t="s">
        <v>769</v>
      </c>
      <c r="C333" s="1">
        <v>45300</v>
      </c>
      <c r="D333" t="s">
        <v>366</v>
      </c>
      <c r="E333">
        <v>30</v>
      </c>
      <c r="F333" s="18">
        <v>30</v>
      </c>
      <c r="G333" t="s">
        <v>1368</v>
      </c>
      <c r="H333" t="s">
        <v>215</v>
      </c>
      <c r="J333" s="21">
        <f>Table1[[#This Row],[interactions]]/Table1[[#This Row],[Attendance]]</f>
        <v>1</v>
      </c>
    </row>
    <row r="334" spans="1:10" x14ac:dyDescent="0.2">
      <c r="A334" t="s">
        <v>11</v>
      </c>
      <c r="B334" t="s">
        <v>1031</v>
      </c>
      <c r="C334" s="1">
        <v>45296</v>
      </c>
      <c r="D334" t="s">
        <v>366</v>
      </c>
      <c r="E334">
        <v>30</v>
      </c>
      <c r="F334" s="18">
        <v>30</v>
      </c>
      <c r="G334" t="s">
        <v>1370</v>
      </c>
      <c r="H334" t="s">
        <v>215</v>
      </c>
      <c r="J334" s="21">
        <f>Table1[[#This Row],[interactions]]/Table1[[#This Row],[Attendance]]</f>
        <v>1</v>
      </c>
    </row>
    <row r="335" spans="1:10" x14ac:dyDescent="0.2">
      <c r="A335" t="s">
        <v>11</v>
      </c>
      <c r="B335" t="s">
        <v>261</v>
      </c>
      <c r="C335" s="1">
        <v>45244</v>
      </c>
      <c r="D335" t="s">
        <v>217</v>
      </c>
      <c r="E335">
        <v>30</v>
      </c>
      <c r="F335" s="18">
        <v>30</v>
      </c>
      <c r="G335" t="s">
        <v>260</v>
      </c>
      <c r="H335" t="s">
        <v>229</v>
      </c>
      <c r="I335" t="s">
        <v>631</v>
      </c>
      <c r="J335" s="21">
        <f>Table1[[#This Row],[interactions]]/Table1[[#This Row],[Attendance]]</f>
        <v>1</v>
      </c>
    </row>
    <row r="336" spans="1:10" x14ac:dyDescent="0.2">
      <c r="A336" t="s">
        <v>11</v>
      </c>
      <c r="B336" t="s">
        <v>427</v>
      </c>
      <c r="C336" s="1">
        <v>45118</v>
      </c>
      <c r="D336" t="s">
        <v>217</v>
      </c>
      <c r="E336">
        <v>30</v>
      </c>
      <c r="F336" s="18">
        <v>30</v>
      </c>
      <c r="G336" t="s">
        <v>426</v>
      </c>
      <c r="H336" t="s">
        <v>215</v>
      </c>
      <c r="I336" t="s">
        <v>631</v>
      </c>
      <c r="J336" s="21">
        <f>Table1[[#This Row],[interactions]]/Table1[[#This Row],[Attendance]]</f>
        <v>1</v>
      </c>
    </row>
    <row r="337" spans="1:10" x14ac:dyDescent="0.2">
      <c r="A337" t="s">
        <v>11</v>
      </c>
      <c r="B337" t="s">
        <v>218</v>
      </c>
      <c r="C337" s="1">
        <v>45105</v>
      </c>
      <c r="D337" t="s">
        <v>217</v>
      </c>
      <c r="E337">
        <v>30</v>
      </c>
      <c r="F337" s="18">
        <v>30</v>
      </c>
      <c r="G337" t="s">
        <v>433</v>
      </c>
      <c r="H337" t="s">
        <v>215</v>
      </c>
      <c r="I337" t="s">
        <v>631</v>
      </c>
      <c r="J337" s="21">
        <f>Table1[[#This Row],[interactions]]/Table1[[#This Row],[Attendance]]</f>
        <v>1</v>
      </c>
    </row>
    <row r="338" spans="1:10" x14ac:dyDescent="0.2">
      <c r="A338" t="s">
        <v>11</v>
      </c>
      <c r="B338" t="s">
        <v>385</v>
      </c>
      <c r="C338" s="1">
        <v>45104</v>
      </c>
      <c r="D338" t="s">
        <v>217</v>
      </c>
      <c r="E338">
        <v>30</v>
      </c>
      <c r="F338" s="18">
        <v>30</v>
      </c>
      <c r="G338" t="s">
        <v>434</v>
      </c>
      <c r="H338" t="s">
        <v>215</v>
      </c>
      <c r="I338" t="s">
        <v>631</v>
      </c>
      <c r="J338" s="21">
        <f>Table1[[#This Row],[interactions]]/Table1[[#This Row],[Attendance]]</f>
        <v>1</v>
      </c>
    </row>
    <row r="339" spans="1:10" x14ac:dyDescent="0.2">
      <c r="A339" t="s">
        <v>11</v>
      </c>
      <c r="B339" t="s">
        <v>440</v>
      </c>
      <c r="C339" s="1">
        <v>45097</v>
      </c>
      <c r="D339" t="s">
        <v>217</v>
      </c>
      <c r="E339">
        <v>30</v>
      </c>
      <c r="F339" s="18">
        <v>30</v>
      </c>
      <c r="G339" t="s">
        <v>439</v>
      </c>
      <c r="H339" t="s">
        <v>215</v>
      </c>
      <c r="I339" t="s">
        <v>631</v>
      </c>
      <c r="J339" s="21">
        <f>Table1[[#This Row],[interactions]]/Table1[[#This Row],[Attendance]]</f>
        <v>1</v>
      </c>
    </row>
    <row r="340" spans="1:10" x14ac:dyDescent="0.2">
      <c r="A340" t="s">
        <v>11</v>
      </c>
      <c r="B340" t="s">
        <v>402</v>
      </c>
      <c r="C340" s="1">
        <v>45092</v>
      </c>
      <c r="D340" t="s">
        <v>217</v>
      </c>
      <c r="E340">
        <v>30</v>
      </c>
      <c r="F340" s="18">
        <v>30</v>
      </c>
      <c r="G340" t="s">
        <v>442</v>
      </c>
      <c r="H340" t="s">
        <v>215</v>
      </c>
      <c r="I340" t="s">
        <v>631</v>
      </c>
      <c r="J340" s="21">
        <f>Table1[[#This Row],[interactions]]/Table1[[#This Row],[Attendance]]</f>
        <v>1</v>
      </c>
    </row>
    <row r="341" spans="1:10" x14ac:dyDescent="0.2">
      <c r="A341" t="s">
        <v>11</v>
      </c>
      <c r="B341" t="s">
        <v>487</v>
      </c>
      <c r="C341" s="1">
        <v>45034</v>
      </c>
      <c r="D341" t="s">
        <v>366</v>
      </c>
      <c r="E341">
        <v>30</v>
      </c>
      <c r="F341" s="18">
        <v>30</v>
      </c>
      <c r="G341" t="s">
        <v>486</v>
      </c>
      <c r="H341" t="s">
        <v>215</v>
      </c>
      <c r="I341" t="s">
        <v>631</v>
      </c>
      <c r="J341" s="21">
        <f>Table1[[#This Row],[interactions]]/Table1[[#This Row],[Attendance]]</f>
        <v>1</v>
      </c>
    </row>
    <row r="342" spans="1:10" x14ac:dyDescent="0.2">
      <c r="A342" t="s">
        <v>11</v>
      </c>
      <c r="B342" t="s">
        <v>514</v>
      </c>
      <c r="C342" s="1">
        <v>45000</v>
      </c>
      <c r="D342" t="s">
        <v>366</v>
      </c>
      <c r="E342">
        <v>30</v>
      </c>
      <c r="F342" s="18">
        <v>30</v>
      </c>
      <c r="G342" t="s">
        <v>513</v>
      </c>
      <c r="H342" t="s">
        <v>215</v>
      </c>
      <c r="I342" t="s">
        <v>631</v>
      </c>
      <c r="J342" s="21">
        <f>Table1[[#This Row],[interactions]]/Table1[[#This Row],[Attendance]]</f>
        <v>1</v>
      </c>
    </row>
    <row r="343" spans="1:10" x14ac:dyDescent="0.2">
      <c r="A343" t="s">
        <v>11</v>
      </c>
      <c r="B343" t="s">
        <v>302</v>
      </c>
      <c r="C343" s="1">
        <v>44966</v>
      </c>
      <c r="D343" t="s">
        <v>217</v>
      </c>
      <c r="E343">
        <v>30</v>
      </c>
      <c r="F343" s="18">
        <v>30</v>
      </c>
      <c r="G343" t="s">
        <v>550</v>
      </c>
      <c r="H343" t="s">
        <v>549</v>
      </c>
      <c r="I343" t="s">
        <v>631</v>
      </c>
      <c r="J343" s="21">
        <f>Table1[[#This Row],[interactions]]/Table1[[#This Row],[Attendance]]</f>
        <v>1</v>
      </c>
    </row>
    <row r="344" spans="1:10" x14ac:dyDescent="0.2">
      <c r="A344" t="s">
        <v>11</v>
      </c>
      <c r="B344" t="s">
        <v>130</v>
      </c>
      <c r="C344" s="1">
        <v>44579</v>
      </c>
      <c r="D344" t="s">
        <v>211</v>
      </c>
      <c r="E344">
        <v>30</v>
      </c>
      <c r="F344" s="18">
        <v>30</v>
      </c>
      <c r="G344" t="s">
        <v>210</v>
      </c>
      <c r="H344" t="s">
        <v>86</v>
      </c>
      <c r="I344" t="s">
        <v>631</v>
      </c>
      <c r="J344" s="21">
        <f>Table1[[#This Row],[interactions]]/Table1[[#This Row],[Attendance]]</f>
        <v>1</v>
      </c>
    </row>
    <row r="345" spans="1:10" x14ac:dyDescent="0.2">
      <c r="A345" t="s">
        <v>11</v>
      </c>
      <c r="B345" t="s">
        <v>37</v>
      </c>
      <c r="C345" s="1">
        <v>44476</v>
      </c>
      <c r="D345" t="s">
        <v>38</v>
      </c>
      <c r="E345">
        <v>30</v>
      </c>
      <c r="F345" s="18">
        <v>30</v>
      </c>
      <c r="G345" t="s">
        <v>39</v>
      </c>
      <c r="H345" t="s">
        <v>22</v>
      </c>
      <c r="I345" t="s">
        <v>631</v>
      </c>
      <c r="J345" s="21">
        <f>Table1[[#This Row],[interactions]]/Table1[[#This Row],[Attendance]]</f>
        <v>1</v>
      </c>
    </row>
    <row r="346" spans="1:10" x14ac:dyDescent="0.2">
      <c r="A346" t="s">
        <v>11</v>
      </c>
      <c r="B346" t="s">
        <v>1583</v>
      </c>
      <c r="C346" s="1">
        <v>45735</v>
      </c>
      <c r="D346" t="s">
        <v>366</v>
      </c>
      <c r="E346">
        <v>32</v>
      </c>
      <c r="F346" s="18">
        <v>32</v>
      </c>
      <c r="H346" t="s">
        <v>1409</v>
      </c>
      <c r="I346" t="s">
        <v>645</v>
      </c>
      <c r="J346" s="21">
        <f>Table1[[#This Row],[interactions]]/Table1[[#This Row],[Attendance]]</f>
        <v>1</v>
      </c>
    </row>
    <row r="347" spans="1:10" x14ac:dyDescent="0.2">
      <c r="A347" t="s">
        <v>11</v>
      </c>
      <c r="B347" t="s">
        <v>1414</v>
      </c>
      <c r="C347" s="1">
        <v>45946</v>
      </c>
      <c r="D347" t="s">
        <v>366</v>
      </c>
      <c r="E347">
        <v>33</v>
      </c>
      <c r="F347" s="18">
        <v>33</v>
      </c>
      <c r="H347" t="s">
        <v>1413</v>
      </c>
      <c r="I347" t="s">
        <v>651</v>
      </c>
      <c r="J347" s="21">
        <f>Table1[[#This Row],[interactions]]/Table1[[#This Row],[Attendance]]</f>
        <v>1</v>
      </c>
    </row>
    <row r="348" spans="1:10" x14ac:dyDescent="0.2">
      <c r="A348" t="s">
        <v>11</v>
      </c>
      <c r="B348" t="s">
        <v>1479</v>
      </c>
      <c r="C348" s="1">
        <v>45909</v>
      </c>
      <c r="D348" t="s">
        <v>366</v>
      </c>
      <c r="E348">
        <v>35</v>
      </c>
      <c r="F348" s="18">
        <v>35</v>
      </c>
      <c r="G348" t="s">
        <v>1478</v>
      </c>
      <c r="H348" t="s">
        <v>621</v>
      </c>
      <c r="I348" t="s">
        <v>623</v>
      </c>
      <c r="J348" s="21">
        <f>Table1[[#This Row],[interactions]]/Table1[[#This Row],[Attendance]]</f>
        <v>1</v>
      </c>
    </row>
    <row r="349" spans="1:10" x14ac:dyDescent="0.2">
      <c r="A349" t="s">
        <v>11</v>
      </c>
      <c r="B349" t="s">
        <v>1530</v>
      </c>
      <c r="C349" s="1">
        <v>45853</v>
      </c>
      <c r="D349" t="s">
        <v>366</v>
      </c>
      <c r="E349">
        <v>35</v>
      </c>
      <c r="F349" s="18">
        <v>35</v>
      </c>
      <c r="H349" t="s">
        <v>621</v>
      </c>
      <c r="I349" t="s">
        <v>623</v>
      </c>
      <c r="J349" s="21">
        <f>Table1[[#This Row],[interactions]]/Table1[[#This Row],[Attendance]]</f>
        <v>1</v>
      </c>
    </row>
    <row r="350" spans="1:10" x14ac:dyDescent="0.2">
      <c r="A350" t="s">
        <v>11</v>
      </c>
      <c r="B350" t="s">
        <v>776</v>
      </c>
      <c r="C350" s="1">
        <v>45821</v>
      </c>
      <c r="D350" t="s">
        <v>217</v>
      </c>
      <c r="E350">
        <v>35</v>
      </c>
      <c r="F350" s="18">
        <v>35</v>
      </c>
      <c r="H350" t="s">
        <v>608</v>
      </c>
      <c r="I350" t="s">
        <v>697</v>
      </c>
      <c r="J350" s="21">
        <f>Table1[[#This Row],[interactions]]/Table1[[#This Row],[Attendance]]</f>
        <v>1</v>
      </c>
    </row>
    <row r="351" spans="1:10" x14ac:dyDescent="0.2">
      <c r="A351" t="s">
        <v>11</v>
      </c>
      <c r="B351" t="s">
        <v>1570</v>
      </c>
      <c r="C351" s="1">
        <v>45785</v>
      </c>
      <c r="D351" t="s">
        <v>217</v>
      </c>
      <c r="E351">
        <v>35</v>
      </c>
      <c r="F351" s="18">
        <v>35</v>
      </c>
      <c r="H351" t="s">
        <v>1409</v>
      </c>
      <c r="I351" t="s">
        <v>690</v>
      </c>
      <c r="J351" s="21">
        <f>Table1[[#This Row],[interactions]]/Table1[[#This Row],[Attendance]]</f>
        <v>1</v>
      </c>
    </row>
    <row r="352" spans="1:10" x14ac:dyDescent="0.2">
      <c r="A352" t="s">
        <v>11</v>
      </c>
      <c r="B352" t="s">
        <v>1530</v>
      </c>
      <c r="C352" s="1">
        <v>45783</v>
      </c>
      <c r="D352" t="s">
        <v>366</v>
      </c>
      <c r="E352">
        <v>35</v>
      </c>
      <c r="F352" s="18">
        <v>35</v>
      </c>
      <c r="H352" t="s">
        <v>621</v>
      </c>
      <c r="I352" t="s">
        <v>623</v>
      </c>
      <c r="J352" s="21">
        <f>Table1[[#This Row],[interactions]]/Table1[[#This Row],[Attendance]]</f>
        <v>1</v>
      </c>
    </row>
    <row r="353" spans="1:10" x14ac:dyDescent="0.2">
      <c r="A353" t="s">
        <v>11</v>
      </c>
      <c r="B353" t="s">
        <v>1587</v>
      </c>
      <c r="C353" s="1">
        <v>45757</v>
      </c>
      <c r="D353" t="s">
        <v>217</v>
      </c>
      <c r="E353">
        <v>35</v>
      </c>
      <c r="F353" s="18">
        <v>35</v>
      </c>
      <c r="H353" t="s">
        <v>1409</v>
      </c>
      <c r="I353" t="s">
        <v>690</v>
      </c>
      <c r="J353" s="21">
        <f>Table1[[#This Row],[interactions]]/Table1[[#This Row],[Attendance]]</f>
        <v>1</v>
      </c>
    </row>
    <row r="354" spans="1:10" x14ac:dyDescent="0.2">
      <c r="A354" t="s">
        <v>11</v>
      </c>
      <c r="B354" t="s">
        <v>1530</v>
      </c>
      <c r="C354" s="1">
        <v>45748</v>
      </c>
      <c r="D354" t="s">
        <v>366</v>
      </c>
      <c r="E354">
        <v>35</v>
      </c>
      <c r="F354" s="18">
        <v>35</v>
      </c>
      <c r="H354" t="s">
        <v>621</v>
      </c>
      <c r="I354" t="s">
        <v>623</v>
      </c>
      <c r="J354" s="21">
        <f>Table1[[#This Row],[interactions]]/Table1[[#This Row],[Attendance]]</f>
        <v>1</v>
      </c>
    </row>
    <row r="355" spans="1:10" x14ac:dyDescent="0.2">
      <c r="A355" t="s">
        <v>11</v>
      </c>
      <c r="B355" t="s">
        <v>1530</v>
      </c>
      <c r="C355" s="1">
        <v>45741</v>
      </c>
      <c r="D355" t="s">
        <v>366</v>
      </c>
      <c r="E355">
        <v>35</v>
      </c>
      <c r="F355" s="18">
        <v>35</v>
      </c>
      <c r="H355" t="s">
        <v>621</v>
      </c>
      <c r="I355" t="s">
        <v>623</v>
      </c>
      <c r="J355" s="21">
        <f>Table1[[#This Row],[interactions]]/Table1[[#This Row],[Attendance]]</f>
        <v>1</v>
      </c>
    </row>
    <row r="356" spans="1:10" x14ac:dyDescent="0.2">
      <c r="A356" t="s">
        <v>11</v>
      </c>
      <c r="B356" t="s">
        <v>1530</v>
      </c>
      <c r="C356" s="1">
        <v>45685</v>
      </c>
      <c r="D356" t="s">
        <v>366</v>
      </c>
      <c r="E356">
        <v>35</v>
      </c>
      <c r="F356" s="18">
        <v>35</v>
      </c>
      <c r="H356" t="s">
        <v>621</v>
      </c>
      <c r="I356" t="s">
        <v>623</v>
      </c>
      <c r="J356" s="21">
        <f>Table1[[#This Row],[interactions]]/Table1[[#This Row],[Attendance]]</f>
        <v>1</v>
      </c>
    </row>
    <row r="357" spans="1:10" x14ac:dyDescent="0.2">
      <c r="A357" t="s">
        <v>11</v>
      </c>
      <c r="B357" t="s">
        <v>605</v>
      </c>
      <c r="C357" s="1">
        <v>45581</v>
      </c>
      <c r="D357" t="s">
        <v>237</v>
      </c>
      <c r="E357">
        <v>35</v>
      </c>
      <c r="F357" s="18">
        <v>35</v>
      </c>
      <c r="G357" t="s">
        <v>604</v>
      </c>
      <c r="H357" t="s">
        <v>215</v>
      </c>
      <c r="I357" t="s">
        <v>593</v>
      </c>
      <c r="J357" s="21">
        <f>Table1[[#This Row],[interactions]]/Table1[[#This Row],[Attendance]]</f>
        <v>1</v>
      </c>
    </row>
    <row r="358" spans="1:10" x14ac:dyDescent="0.2">
      <c r="A358" t="s">
        <v>11</v>
      </c>
      <c r="B358" t="s">
        <v>379</v>
      </c>
      <c r="C358" s="1">
        <v>45574</v>
      </c>
      <c r="D358" t="s">
        <v>217</v>
      </c>
      <c r="E358">
        <v>35</v>
      </c>
      <c r="F358" s="18">
        <v>35</v>
      </c>
      <c r="G358" t="s">
        <v>761</v>
      </c>
      <c r="H358" t="s">
        <v>215</v>
      </c>
      <c r="I358" t="s">
        <v>729</v>
      </c>
      <c r="J358" s="21">
        <f>Table1[[#This Row],[interactions]]/Table1[[#This Row],[Attendance]]</f>
        <v>1</v>
      </c>
    </row>
    <row r="359" spans="1:10" x14ac:dyDescent="0.2">
      <c r="A359" t="s">
        <v>11</v>
      </c>
      <c r="B359" t="s">
        <v>781</v>
      </c>
      <c r="C359" s="1">
        <v>45569</v>
      </c>
      <c r="D359" t="s">
        <v>217</v>
      </c>
      <c r="E359">
        <v>35</v>
      </c>
      <c r="F359" s="18">
        <v>35</v>
      </c>
      <c r="G359" t="s">
        <v>780</v>
      </c>
      <c r="H359" t="s">
        <v>612</v>
      </c>
      <c r="I359" t="s">
        <v>639</v>
      </c>
      <c r="J359" s="21">
        <f>Table1[[#This Row],[interactions]]/Table1[[#This Row],[Attendance]]</f>
        <v>1</v>
      </c>
    </row>
    <row r="360" spans="1:10" x14ac:dyDescent="0.2">
      <c r="A360" t="s">
        <v>11</v>
      </c>
      <c r="B360" t="s">
        <v>1065</v>
      </c>
      <c r="C360" s="1">
        <v>45475</v>
      </c>
      <c r="D360" t="s">
        <v>217</v>
      </c>
      <c r="E360">
        <v>35</v>
      </c>
      <c r="F360" s="18">
        <v>35</v>
      </c>
      <c r="G360" t="s">
        <v>1064</v>
      </c>
      <c r="H360" t="s">
        <v>608</v>
      </c>
      <c r="I360" t="s">
        <v>927</v>
      </c>
      <c r="J360" s="21">
        <f>Table1[[#This Row],[interactions]]/Table1[[#This Row],[Attendance]]</f>
        <v>1</v>
      </c>
    </row>
    <row r="361" spans="1:10" x14ac:dyDescent="0.2">
      <c r="A361" t="s">
        <v>11</v>
      </c>
      <c r="B361" t="s">
        <v>1102</v>
      </c>
      <c r="C361" s="1">
        <v>45456</v>
      </c>
      <c r="D361" t="s">
        <v>217</v>
      </c>
      <c r="E361">
        <v>35</v>
      </c>
      <c r="F361" s="18">
        <v>35</v>
      </c>
      <c r="G361" t="s">
        <v>1101</v>
      </c>
      <c r="H361" t="s">
        <v>215</v>
      </c>
      <c r="J361" s="21">
        <f>Table1[[#This Row],[interactions]]/Table1[[#This Row],[Attendance]]</f>
        <v>1</v>
      </c>
    </row>
    <row r="362" spans="1:10" x14ac:dyDescent="0.2">
      <c r="A362" t="s">
        <v>11</v>
      </c>
      <c r="B362" t="s">
        <v>1060</v>
      </c>
      <c r="C362" s="1">
        <v>45385</v>
      </c>
      <c r="D362" t="s">
        <v>217</v>
      </c>
      <c r="E362">
        <v>35</v>
      </c>
      <c r="F362" s="18">
        <v>35</v>
      </c>
      <c r="G362" t="s">
        <v>1271</v>
      </c>
      <c r="H362" t="s">
        <v>215</v>
      </c>
      <c r="J362" s="21">
        <f>Table1[[#This Row],[interactions]]/Table1[[#This Row],[Attendance]]</f>
        <v>1</v>
      </c>
    </row>
    <row r="363" spans="1:10" x14ac:dyDescent="0.2">
      <c r="A363" t="s">
        <v>11</v>
      </c>
      <c r="B363" t="s">
        <v>312</v>
      </c>
      <c r="C363" s="1">
        <v>45210</v>
      </c>
      <c r="D363" t="s">
        <v>237</v>
      </c>
      <c r="E363">
        <v>35</v>
      </c>
      <c r="F363" s="18">
        <v>35</v>
      </c>
      <c r="G363" t="s">
        <v>311</v>
      </c>
      <c r="H363" t="s">
        <v>215</v>
      </c>
      <c r="I363" t="s">
        <v>631</v>
      </c>
      <c r="J363" s="21">
        <f>Table1[[#This Row],[interactions]]/Table1[[#This Row],[Attendance]]</f>
        <v>1</v>
      </c>
    </row>
    <row r="364" spans="1:10" x14ac:dyDescent="0.2">
      <c r="A364" t="s">
        <v>11</v>
      </c>
      <c r="B364" t="s">
        <v>328</v>
      </c>
      <c r="C364" s="1">
        <v>45190</v>
      </c>
      <c r="D364" t="s">
        <v>217</v>
      </c>
      <c r="E364">
        <v>35</v>
      </c>
      <c r="F364" s="18">
        <v>35</v>
      </c>
      <c r="G364" t="s">
        <v>327</v>
      </c>
      <c r="H364" t="s">
        <v>215</v>
      </c>
      <c r="I364" t="s">
        <v>631</v>
      </c>
      <c r="J364" s="21">
        <f>Table1[[#This Row],[interactions]]/Table1[[#This Row],[Attendance]]</f>
        <v>1</v>
      </c>
    </row>
    <row r="365" spans="1:10" x14ac:dyDescent="0.2">
      <c r="A365" t="s">
        <v>11</v>
      </c>
      <c r="B365" t="s">
        <v>402</v>
      </c>
      <c r="C365" s="1">
        <v>45078</v>
      </c>
      <c r="D365" t="s">
        <v>237</v>
      </c>
      <c r="E365">
        <v>35</v>
      </c>
      <c r="F365" s="18">
        <v>35</v>
      </c>
      <c r="G365" t="s">
        <v>457</v>
      </c>
      <c r="H365" t="s">
        <v>215</v>
      </c>
      <c r="I365" t="s">
        <v>631</v>
      </c>
      <c r="J365" s="21">
        <f>Table1[[#This Row],[interactions]]/Table1[[#This Row],[Attendance]]</f>
        <v>1</v>
      </c>
    </row>
    <row r="366" spans="1:10" x14ac:dyDescent="0.2">
      <c r="A366" t="s">
        <v>11</v>
      </c>
      <c r="B366" t="s">
        <v>466</v>
      </c>
      <c r="C366" s="1">
        <v>45065</v>
      </c>
      <c r="D366" t="s">
        <v>237</v>
      </c>
      <c r="E366">
        <v>35</v>
      </c>
      <c r="F366" s="18">
        <v>35</v>
      </c>
      <c r="G366" t="s">
        <v>465</v>
      </c>
      <c r="H366" t="s">
        <v>215</v>
      </c>
      <c r="I366" t="s">
        <v>631</v>
      </c>
      <c r="J366" s="21">
        <f>Table1[[#This Row],[interactions]]/Table1[[#This Row],[Attendance]]</f>
        <v>1</v>
      </c>
    </row>
    <row r="367" spans="1:10" x14ac:dyDescent="0.2">
      <c r="A367" t="s">
        <v>11</v>
      </c>
      <c r="B367" t="s">
        <v>218</v>
      </c>
      <c r="C367" s="1">
        <v>45035</v>
      </c>
      <c r="D367" t="s">
        <v>217</v>
      </c>
      <c r="E367">
        <v>35</v>
      </c>
      <c r="F367" s="18">
        <v>35</v>
      </c>
      <c r="G367" t="s">
        <v>485</v>
      </c>
      <c r="H367" t="s">
        <v>215</v>
      </c>
      <c r="I367" t="s">
        <v>631</v>
      </c>
      <c r="J367" s="21">
        <f>Table1[[#This Row],[interactions]]/Table1[[#This Row],[Attendance]]</f>
        <v>1</v>
      </c>
    </row>
    <row r="368" spans="1:10" x14ac:dyDescent="0.2">
      <c r="A368" t="s">
        <v>11</v>
      </c>
      <c r="B368" t="s">
        <v>1034</v>
      </c>
      <c r="C368" s="1">
        <v>45954</v>
      </c>
      <c r="D368" t="s">
        <v>366</v>
      </c>
      <c r="E368">
        <v>37</v>
      </c>
      <c r="F368" s="18">
        <v>37</v>
      </c>
      <c r="H368" t="s">
        <v>621</v>
      </c>
      <c r="I368" t="s">
        <v>648</v>
      </c>
      <c r="J368" s="21">
        <f>Table1[[#This Row],[interactions]]/Table1[[#This Row],[Attendance]]</f>
        <v>1</v>
      </c>
    </row>
    <row r="369" spans="1:10" x14ac:dyDescent="0.2">
      <c r="A369" t="s">
        <v>11</v>
      </c>
      <c r="B369" t="s">
        <v>1633</v>
      </c>
      <c r="C369" s="1">
        <v>45709</v>
      </c>
      <c r="D369" t="s">
        <v>217</v>
      </c>
      <c r="E369">
        <v>37</v>
      </c>
      <c r="F369" s="18">
        <v>37</v>
      </c>
      <c r="H369" t="s">
        <v>1409</v>
      </c>
      <c r="I369" t="s">
        <v>639</v>
      </c>
      <c r="J369" s="21">
        <f>Table1[[#This Row],[interactions]]/Table1[[#This Row],[Attendance]]</f>
        <v>1</v>
      </c>
    </row>
    <row r="370" spans="1:10" x14ac:dyDescent="0.2">
      <c r="A370" t="s">
        <v>11</v>
      </c>
      <c r="B370" t="s">
        <v>1570</v>
      </c>
      <c r="C370" s="1">
        <v>45701</v>
      </c>
      <c r="D370" t="s">
        <v>217</v>
      </c>
      <c r="E370">
        <v>38</v>
      </c>
      <c r="F370" s="18">
        <v>38</v>
      </c>
      <c r="H370" t="s">
        <v>1409</v>
      </c>
      <c r="I370" t="s">
        <v>690</v>
      </c>
      <c r="J370" s="21">
        <f>Table1[[#This Row],[interactions]]/Table1[[#This Row],[Attendance]]</f>
        <v>1</v>
      </c>
    </row>
    <row r="371" spans="1:10" x14ac:dyDescent="0.2">
      <c r="A371" t="s">
        <v>11</v>
      </c>
      <c r="B371" t="s">
        <v>867</v>
      </c>
      <c r="C371" s="1">
        <v>45547</v>
      </c>
      <c r="D371" t="s">
        <v>217</v>
      </c>
      <c r="E371">
        <v>38</v>
      </c>
      <c r="F371" s="18">
        <v>38</v>
      </c>
      <c r="G371" t="s">
        <v>866</v>
      </c>
      <c r="H371" t="s">
        <v>612</v>
      </c>
      <c r="I371" t="s">
        <v>690</v>
      </c>
      <c r="J371" s="21">
        <f>Table1[[#This Row],[interactions]]/Table1[[#This Row],[Attendance]]</f>
        <v>1</v>
      </c>
    </row>
    <row r="372" spans="1:10" x14ac:dyDescent="0.2">
      <c r="A372" t="s">
        <v>11</v>
      </c>
      <c r="B372" t="s">
        <v>1472</v>
      </c>
      <c r="C372" s="1">
        <v>45911</v>
      </c>
      <c r="D372" t="s">
        <v>288</v>
      </c>
      <c r="E372">
        <v>40</v>
      </c>
      <c r="F372" s="18">
        <v>40</v>
      </c>
      <c r="G372" t="s">
        <v>1471</v>
      </c>
      <c r="H372" t="s">
        <v>621</v>
      </c>
      <c r="I372" t="s">
        <v>802</v>
      </c>
      <c r="J372" s="21">
        <f>Table1[[#This Row],[interactions]]/Table1[[#This Row],[Attendance]]</f>
        <v>1</v>
      </c>
    </row>
    <row r="373" spans="1:10" x14ac:dyDescent="0.2">
      <c r="A373" t="s">
        <v>11</v>
      </c>
      <c r="B373" t="s">
        <v>1495</v>
      </c>
      <c r="C373" s="1">
        <v>45896</v>
      </c>
      <c r="D373" t="s">
        <v>217</v>
      </c>
      <c r="E373">
        <v>40</v>
      </c>
      <c r="F373" s="18">
        <v>40</v>
      </c>
      <c r="H373" t="s">
        <v>608</v>
      </c>
      <c r="I373" t="s">
        <v>697</v>
      </c>
      <c r="J373" s="21">
        <f>Table1[[#This Row],[interactions]]/Table1[[#This Row],[Attendance]]</f>
        <v>1</v>
      </c>
    </row>
    <row r="374" spans="1:10" x14ac:dyDescent="0.2">
      <c r="A374" t="s">
        <v>11</v>
      </c>
      <c r="B374" t="s">
        <v>1500</v>
      </c>
      <c r="C374" s="1">
        <v>45895</v>
      </c>
      <c r="D374" t="s">
        <v>366</v>
      </c>
      <c r="E374">
        <v>40</v>
      </c>
      <c r="F374" s="18">
        <v>40</v>
      </c>
      <c r="H374" t="s">
        <v>621</v>
      </c>
      <c r="I374" t="s">
        <v>623</v>
      </c>
      <c r="J374" s="21">
        <f>Table1[[#This Row],[interactions]]/Table1[[#This Row],[Attendance]]</f>
        <v>1</v>
      </c>
    </row>
    <row r="375" spans="1:10" x14ac:dyDescent="0.2">
      <c r="A375" t="s">
        <v>11</v>
      </c>
      <c r="B375" t="s">
        <v>1513</v>
      </c>
      <c r="C375" s="1">
        <v>45882</v>
      </c>
      <c r="D375" t="s">
        <v>366</v>
      </c>
      <c r="E375">
        <v>40</v>
      </c>
      <c r="F375" s="18">
        <v>40</v>
      </c>
      <c r="H375" t="s">
        <v>608</v>
      </c>
      <c r="I375" t="s">
        <v>697</v>
      </c>
      <c r="J375" s="21">
        <f>Table1[[#This Row],[interactions]]/Table1[[#This Row],[Attendance]]</f>
        <v>1</v>
      </c>
    </row>
    <row r="376" spans="1:10" x14ac:dyDescent="0.2">
      <c r="A376" t="s">
        <v>11</v>
      </c>
      <c r="B376" t="s">
        <v>776</v>
      </c>
      <c r="C376" s="1">
        <v>45849</v>
      </c>
      <c r="D376" t="s">
        <v>217</v>
      </c>
      <c r="E376">
        <v>40</v>
      </c>
      <c r="F376" s="18">
        <v>40</v>
      </c>
      <c r="H376" t="s">
        <v>608</v>
      </c>
      <c r="I376" t="s">
        <v>697</v>
      </c>
      <c r="J376" s="21">
        <f>Table1[[#This Row],[interactions]]/Table1[[#This Row],[Attendance]]</f>
        <v>1</v>
      </c>
    </row>
    <row r="377" spans="1:10" x14ac:dyDescent="0.2">
      <c r="A377" t="s">
        <v>11</v>
      </c>
      <c r="B377" t="s">
        <v>1530</v>
      </c>
      <c r="C377" s="1">
        <v>45839</v>
      </c>
      <c r="D377" t="s">
        <v>366</v>
      </c>
      <c r="E377">
        <v>40</v>
      </c>
      <c r="F377" s="18">
        <v>40</v>
      </c>
      <c r="H377" t="s">
        <v>621</v>
      </c>
      <c r="I377" t="s">
        <v>623</v>
      </c>
      <c r="J377" s="21">
        <f>Table1[[#This Row],[interactions]]/Table1[[#This Row],[Attendance]]</f>
        <v>1</v>
      </c>
    </row>
    <row r="378" spans="1:10" x14ac:dyDescent="0.2">
      <c r="A378" t="s">
        <v>11</v>
      </c>
      <c r="B378" t="s">
        <v>1034</v>
      </c>
      <c r="C378" s="1">
        <v>45821</v>
      </c>
      <c r="D378" t="s">
        <v>217</v>
      </c>
      <c r="E378">
        <v>40</v>
      </c>
      <c r="F378" s="18">
        <v>40</v>
      </c>
      <c r="H378" t="s">
        <v>621</v>
      </c>
      <c r="I378" t="s">
        <v>648</v>
      </c>
      <c r="J378" s="21">
        <f>Table1[[#This Row],[interactions]]/Table1[[#This Row],[Attendance]]</f>
        <v>1</v>
      </c>
    </row>
    <row r="379" spans="1:10" x14ac:dyDescent="0.2">
      <c r="A379" s="15" t="s">
        <v>11</v>
      </c>
      <c r="B379" t="s">
        <v>1630</v>
      </c>
      <c r="C379" s="1">
        <v>45713</v>
      </c>
      <c r="D379" t="s">
        <v>237</v>
      </c>
      <c r="E379">
        <v>40</v>
      </c>
      <c r="F379" s="18">
        <v>40</v>
      </c>
      <c r="H379" t="s">
        <v>621</v>
      </c>
      <c r="I379" t="s">
        <v>623</v>
      </c>
      <c r="J379" s="21">
        <f>Table1[[#This Row],[interactions]]/Table1[[#This Row],[Attendance]]</f>
        <v>1</v>
      </c>
    </row>
    <row r="380" spans="1:10" x14ac:dyDescent="0.2">
      <c r="A380" s="15" t="s">
        <v>11</v>
      </c>
      <c r="B380" t="s">
        <v>1646</v>
      </c>
      <c r="C380" s="1">
        <v>45680</v>
      </c>
      <c r="D380" t="s">
        <v>217</v>
      </c>
      <c r="E380">
        <v>40</v>
      </c>
      <c r="F380" s="18">
        <v>40</v>
      </c>
      <c r="H380" t="s">
        <v>649</v>
      </c>
      <c r="I380" t="s">
        <v>603</v>
      </c>
      <c r="J380" s="21">
        <f>Table1[[#This Row],[interactions]]/Table1[[#This Row],[Attendance]]</f>
        <v>1</v>
      </c>
    </row>
    <row r="381" spans="1:10" x14ac:dyDescent="0.2">
      <c r="A381" t="s">
        <v>11</v>
      </c>
      <c r="B381" t="s">
        <v>1656</v>
      </c>
      <c r="C381" s="1">
        <v>45672</v>
      </c>
      <c r="D381" t="s">
        <v>217</v>
      </c>
      <c r="E381">
        <v>40</v>
      </c>
      <c r="F381" s="18">
        <v>40</v>
      </c>
      <c r="H381" t="s">
        <v>1409</v>
      </c>
      <c r="I381" t="s">
        <v>645</v>
      </c>
      <c r="J381" s="21">
        <f>Table1[[#This Row],[interactions]]/Table1[[#This Row],[Attendance]]</f>
        <v>1</v>
      </c>
    </row>
    <row r="382" spans="1:10" x14ac:dyDescent="0.2">
      <c r="A382" t="s">
        <v>11</v>
      </c>
      <c r="B382" t="s">
        <v>1459</v>
      </c>
      <c r="C382" s="1">
        <v>45667</v>
      </c>
      <c r="D382" t="s">
        <v>217</v>
      </c>
      <c r="E382">
        <v>40</v>
      </c>
      <c r="F382" s="18">
        <v>40</v>
      </c>
      <c r="H382" t="s">
        <v>1409</v>
      </c>
      <c r="I382" t="s">
        <v>933</v>
      </c>
      <c r="J382" s="21">
        <f>Table1[[#This Row],[interactions]]/Table1[[#This Row],[Attendance]]</f>
        <v>1</v>
      </c>
    </row>
    <row r="383" spans="1:10" x14ac:dyDescent="0.2">
      <c r="A383" t="s">
        <v>11</v>
      </c>
      <c r="B383" t="s">
        <v>706</v>
      </c>
      <c r="C383" s="1">
        <v>45604</v>
      </c>
      <c r="D383" t="s">
        <v>217</v>
      </c>
      <c r="E383">
        <v>40</v>
      </c>
      <c r="F383" s="18">
        <v>40</v>
      </c>
      <c r="G383" t="s">
        <v>705</v>
      </c>
      <c r="H383" t="s">
        <v>612</v>
      </c>
      <c r="I383" t="s">
        <v>639</v>
      </c>
      <c r="J383" s="21">
        <f>Table1[[#This Row],[interactions]]/Table1[[#This Row],[Attendance]]</f>
        <v>1</v>
      </c>
    </row>
    <row r="384" spans="1:10" x14ac:dyDescent="0.2">
      <c r="A384" s="15" t="s">
        <v>11</v>
      </c>
      <c r="B384" t="s">
        <v>710</v>
      </c>
      <c r="C384" s="1">
        <v>45603</v>
      </c>
      <c r="D384" t="s">
        <v>709</v>
      </c>
      <c r="E384">
        <v>40</v>
      </c>
      <c r="F384" s="18">
        <v>40</v>
      </c>
      <c r="G384" t="s">
        <v>676</v>
      </c>
      <c r="H384" t="s">
        <v>215</v>
      </c>
      <c r="I384" t="s">
        <v>651</v>
      </c>
      <c r="J384" s="21">
        <f>Table1[[#This Row],[interactions]]/Table1[[#This Row],[Attendance]]</f>
        <v>1</v>
      </c>
    </row>
    <row r="385" spans="1:10" x14ac:dyDescent="0.2">
      <c r="A385" t="s">
        <v>11</v>
      </c>
      <c r="B385" t="s">
        <v>759</v>
      </c>
      <c r="C385" s="1">
        <v>45575</v>
      </c>
      <c r="D385" t="s">
        <v>366</v>
      </c>
      <c r="E385">
        <v>40</v>
      </c>
      <c r="F385" s="18">
        <v>40</v>
      </c>
      <c r="G385" t="s">
        <v>758</v>
      </c>
      <c r="H385" t="s">
        <v>612</v>
      </c>
      <c r="I385" t="s">
        <v>690</v>
      </c>
      <c r="J385" s="21">
        <f>Table1[[#This Row],[interactions]]/Table1[[#This Row],[Attendance]]</f>
        <v>1</v>
      </c>
    </row>
    <row r="386" spans="1:10" x14ac:dyDescent="0.2">
      <c r="A386" s="15" t="s">
        <v>11</v>
      </c>
      <c r="B386" t="s">
        <v>843</v>
      </c>
      <c r="C386" s="1">
        <v>45552</v>
      </c>
      <c r="D386" t="s">
        <v>217</v>
      </c>
      <c r="E386">
        <v>40</v>
      </c>
      <c r="F386" s="18">
        <v>40</v>
      </c>
      <c r="G386" t="s">
        <v>842</v>
      </c>
      <c r="H386" t="s">
        <v>797</v>
      </c>
      <c r="I386" t="s">
        <v>844</v>
      </c>
      <c r="J386" s="21">
        <f>Table1[[#This Row],[interactions]]/Table1[[#This Row],[Attendance]]</f>
        <v>1</v>
      </c>
    </row>
    <row r="387" spans="1:10" x14ac:dyDescent="0.2">
      <c r="A387" t="s">
        <v>11</v>
      </c>
      <c r="B387" t="s">
        <v>1076</v>
      </c>
      <c r="C387" s="1">
        <v>45463</v>
      </c>
      <c r="D387" t="s">
        <v>366</v>
      </c>
      <c r="E387">
        <v>40</v>
      </c>
      <c r="F387" s="18">
        <v>40</v>
      </c>
      <c r="G387" t="s">
        <v>1075</v>
      </c>
      <c r="H387" t="s">
        <v>215</v>
      </c>
      <c r="J387" s="21">
        <f>Table1[[#This Row],[interactions]]/Table1[[#This Row],[Attendance]]</f>
        <v>1</v>
      </c>
    </row>
    <row r="388" spans="1:10" x14ac:dyDescent="0.2">
      <c r="A388" t="s">
        <v>11</v>
      </c>
      <c r="B388" t="s">
        <v>1104</v>
      </c>
      <c r="C388" s="1">
        <v>45456</v>
      </c>
      <c r="D388" t="s">
        <v>288</v>
      </c>
      <c r="E388">
        <v>40</v>
      </c>
      <c r="F388" s="18">
        <v>40</v>
      </c>
      <c r="G388" t="s">
        <v>1103</v>
      </c>
      <c r="H388" t="s">
        <v>215</v>
      </c>
      <c r="J388" s="21">
        <f>Table1[[#This Row],[interactions]]/Table1[[#This Row],[Attendance]]</f>
        <v>1</v>
      </c>
    </row>
    <row r="389" spans="1:10" x14ac:dyDescent="0.2">
      <c r="A389" t="s">
        <v>11</v>
      </c>
      <c r="B389" t="s">
        <v>1106</v>
      </c>
      <c r="C389" s="1">
        <v>45456</v>
      </c>
      <c r="D389" t="s">
        <v>217</v>
      </c>
      <c r="E389">
        <v>40</v>
      </c>
      <c r="F389" s="18">
        <v>40</v>
      </c>
      <c r="G389" t="s">
        <v>1105</v>
      </c>
      <c r="H389" t="s">
        <v>612</v>
      </c>
      <c r="J389" s="21">
        <f>Table1[[#This Row],[interactions]]/Table1[[#This Row],[Attendance]]</f>
        <v>1</v>
      </c>
    </row>
    <row r="390" spans="1:10" x14ac:dyDescent="0.2">
      <c r="A390" s="15" t="s">
        <v>11</v>
      </c>
      <c r="B390" t="s">
        <v>1789</v>
      </c>
      <c r="C390" s="1">
        <v>45441</v>
      </c>
      <c r="D390" t="s">
        <v>1788</v>
      </c>
      <c r="E390">
        <v>40</v>
      </c>
      <c r="F390" s="18">
        <v>40</v>
      </c>
      <c r="H390" t="s">
        <v>685</v>
      </c>
      <c r="I390" t="s">
        <v>631</v>
      </c>
      <c r="J390" s="21">
        <f>Table1[[#This Row],[interactions]]/Table1[[#This Row],[Attendance]]</f>
        <v>1</v>
      </c>
    </row>
    <row r="391" spans="1:10" x14ac:dyDescent="0.2">
      <c r="A391" t="s">
        <v>11</v>
      </c>
      <c r="B391" t="s">
        <v>1262</v>
      </c>
      <c r="C391" s="1">
        <v>45386</v>
      </c>
      <c r="D391" t="s">
        <v>217</v>
      </c>
      <c r="E391">
        <v>40</v>
      </c>
      <c r="F391" s="18">
        <v>40</v>
      </c>
      <c r="G391" t="s">
        <v>1261</v>
      </c>
      <c r="H391" t="s">
        <v>490</v>
      </c>
      <c r="J391" s="21">
        <f>Table1[[#This Row],[interactions]]/Table1[[#This Row],[Attendance]]</f>
        <v>1</v>
      </c>
    </row>
    <row r="392" spans="1:10" x14ac:dyDescent="0.2">
      <c r="A392" t="s">
        <v>11</v>
      </c>
      <c r="B392" t="s">
        <v>1260</v>
      </c>
      <c r="C392" s="1">
        <v>45386</v>
      </c>
      <c r="D392" t="s">
        <v>217</v>
      </c>
      <c r="E392">
        <v>40</v>
      </c>
      <c r="F392" s="18">
        <v>40</v>
      </c>
      <c r="G392" t="s">
        <v>1259</v>
      </c>
      <c r="H392" t="s">
        <v>1208</v>
      </c>
      <c r="J392" s="21">
        <f>Table1[[#This Row],[interactions]]/Table1[[#This Row],[Attendance]]</f>
        <v>1</v>
      </c>
    </row>
    <row r="393" spans="1:10" x14ac:dyDescent="0.2">
      <c r="A393" t="s">
        <v>11</v>
      </c>
      <c r="B393" t="s">
        <v>1316</v>
      </c>
      <c r="C393" s="1">
        <v>45358</v>
      </c>
      <c r="D393" t="s">
        <v>217</v>
      </c>
      <c r="E393">
        <v>40</v>
      </c>
      <c r="F393" s="18">
        <v>40</v>
      </c>
      <c r="G393" t="s">
        <v>1315</v>
      </c>
      <c r="H393" t="s">
        <v>215</v>
      </c>
      <c r="J393" s="21">
        <f>Table1[[#This Row],[interactions]]/Table1[[#This Row],[Attendance]]</f>
        <v>1</v>
      </c>
    </row>
    <row r="394" spans="1:10" x14ac:dyDescent="0.2">
      <c r="A394" t="s">
        <v>11</v>
      </c>
      <c r="B394" t="s">
        <v>1316</v>
      </c>
      <c r="C394" s="1">
        <v>45295</v>
      </c>
      <c r="D394" t="s">
        <v>366</v>
      </c>
      <c r="E394">
        <v>40</v>
      </c>
      <c r="F394" s="18">
        <v>40</v>
      </c>
      <c r="G394" t="s">
        <v>1371</v>
      </c>
      <c r="H394" t="s">
        <v>215</v>
      </c>
      <c r="J394" s="21">
        <f>Table1[[#This Row],[interactions]]/Table1[[#This Row],[Attendance]]</f>
        <v>1</v>
      </c>
    </row>
    <row r="395" spans="1:10" x14ac:dyDescent="0.2">
      <c r="A395" t="s">
        <v>11</v>
      </c>
      <c r="B395" t="s">
        <v>232</v>
      </c>
      <c r="C395" s="1">
        <v>45273</v>
      </c>
      <c r="D395" t="s">
        <v>217</v>
      </c>
      <c r="E395">
        <v>40</v>
      </c>
      <c r="F395" s="18">
        <v>40</v>
      </c>
      <c r="G395" t="s">
        <v>231</v>
      </c>
      <c r="H395" t="s">
        <v>215</v>
      </c>
      <c r="I395" t="s">
        <v>631</v>
      </c>
      <c r="J395" s="21">
        <f>Table1[[#This Row],[interactions]]/Table1[[#This Row],[Attendance]]</f>
        <v>1</v>
      </c>
    </row>
    <row r="396" spans="1:10" x14ac:dyDescent="0.2">
      <c r="A396" t="s">
        <v>11</v>
      </c>
      <c r="B396" t="s">
        <v>249</v>
      </c>
      <c r="C396" s="1">
        <v>45233</v>
      </c>
      <c r="D396" t="s">
        <v>217</v>
      </c>
      <c r="E396">
        <v>40</v>
      </c>
      <c r="F396" s="18">
        <v>40</v>
      </c>
      <c r="G396" t="s">
        <v>277</v>
      </c>
      <c r="H396" t="s">
        <v>215</v>
      </c>
      <c r="I396" t="s">
        <v>631</v>
      </c>
      <c r="J396" s="21">
        <f>Table1[[#This Row],[interactions]]/Table1[[#This Row],[Attendance]]</f>
        <v>1</v>
      </c>
    </row>
    <row r="397" spans="1:10" x14ac:dyDescent="0.2">
      <c r="A397" t="s">
        <v>11</v>
      </c>
      <c r="B397" t="s">
        <v>387</v>
      </c>
      <c r="C397" s="1">
        <v>45161</v>
      </c>
      <c r="D397" t="s">
        <v>217</v>
      </c>
      <c r="E397">
        <v>40</v>
      </c>
      <c r="F397" s="18">
        <v>40</v>
      </c>
      <c r="G397" t="s">
        <v>386</v>
      </c>
      <c r="H397" t="s">
        <v>229</v>
      </c>
      <c r="I397" t="s">
        <v>631</v>
      </c>
      <c r="J397" s="21">
        <f>Table1[[#This Row],[interactions]]/Table1[[#This Row],[Attendance]]</f>
        <v>1</v>
      </c>
    </row>
    <row r="398" spans="1:10" x14ac:dyDescent="0.2">
      <c r="A398" t="s">
        <v>11</v>
      </c>
      <c r="B398" t="s">
        <v>472</v>
      </c>
      <c r="C398" s="1">
        <v>45021</v>
      </c>
      <c r="D398" t="s">
        <v>366</v>
      </c>
      <c r="E398">
        <v>40</v>
      </c>
      <c r="F398" s="18">
        <v>40</v>
      </c>
      <c r="G398" t="s">
        <v>499</v>
      </c>
      <c r="H398" t="s">
        <v>498</v>
      </c>
      <c r="I398" t="s">
        <v>631</v>
      </c>
      <c r="J398" s="21">
        <f>Table1[[#This Row],[interactions]]/Table1[[#This Row],[Attendance]]</f>
        <v>1</v>
      </c>
    </row>
    <row r="399" spans="1:10" x14ac:dyDescent="0.2">
      <c r="A399" t="s">
        <v>11</v>
      </c>
      <c r="B399" t="s">
        <v>1542</v>
      </c>
      <c r="C399" s="1">
        <v>45835</v>
      </c>
      <c r="D399" t="s">
        <v>366</v>
      </c>
      <c r="E399">
        <v>41</v>
      </c>
      <c r="F399" s="18">
        <v>41</v>
      </c>
      <c r="H399" t="s">
        <v>1409</v>
      </c>
      <c r="I399" t="s">
        <v>639</v>
      </c>
      <c r="J399" s="21">
        <f>Table1[[#This Row],[interactions]]/Table1[[#This Row],[Attendance]]</f>
        <v>1</v>
      </c>
    </row>
    <row r="400" spans="1:10" x14ac:dyDescent="0.2">
      <c r="A400" t="s">
        <v>11</v>
      </c>
      <c r="B400" t="s">
        <v>1297</v>
      </c>
      <c r="C400" s="1">
        <v>45370</v>
      </c>
      <c r="D400" t="s">
        <v>581</v>
      </c>
      <c r="E400">
        <v>41</v>
      </c>
      <c r="F400" s="18">
        <v>41</v>
      </c>
      <c r="G400" t="s">
        <v>1296</v>
      </c>
      <c r="H400" t="s">
        <v>1295</v>
      </c>
      <c r="J400" s="21">
        <f>Table1[[#This Row],[interactions]]/Table1[[#This Row],[Attendance]]</f>
        <v>1</v>
      </c>
    </row>
    <row r="401" spans="1:10" x14ac:dyDescent="0.2">
      <c r="A401" t="s">
        <v>11</v>
      </c>
      <c r="B401" t="s">
        <v>1552</v>
      </c>
      <c r="C401" s="1">
        <v>45784</v>
      </c>
      <c r="D401" t="s">
        <v>217</v>
      </c>
      <c r="E401">
        <v>42</v>
      </c>
      <c r="F401" s="18">
        <v>42</v>
      </c>
      <c r="H401" t="s">
        <v>1409</v>
      </c>
      <c r="I401" t="s">
        <v>645</v>
      </c>
      <c r="J401" s="21">
        <f>Table1[[#This Row],[interactions]]/Table1[[#This Row],[Attendance]]</f>
        <v>1</v>
      </c>
    </row>
    <row r="402" spans="1:10" x14ac:dyDescent="0.2">
      <c r="A402" t="s">
        <v>11</v>
      </c>
      <c r="B402" t="s">
        <v>1523</v>
      </c>
      <c r="C402" s="1">
        <v>45863</v>
      </c>
      <c r="D402" t="s">
        <v>1386</v>
      </c>
      <c r="E402">
        <v>43</v>
      </c>
      <c r="F402" s="18">
        <v>43</v>
      </c>
      <c r="H402" t="s">
        <v>1409</v>
      </c>
      <c r="I402" t="s">
        <v>639</v>
      </c>
      <c r="J402" s="21">
        <f>Table1[[#This Row],[interactions]]/Table1[[#This Row],[Attendance]]</f>
        <v>1</v>
      </c>
    </row>
    <row r="403" spans="1:10" x14ac:dyDescent="0.2">
      <c r="A403" t="s">
        <v>11</v>
      </c>
      <c r="B403" t="s">
        <v>1554</v>
      </c>
      <c r="C403" s="1">
        <v>45820</v>
      </c>
      <c r="D403" t="s">
        <v>366</v>
      </c>
      <c r="E403">
        <v>43</v>
      </c>
      <c r="F403" s="18">
        <v>43</v>
      </c>
      <c r="H403" t="s">
        <v>1409</v>
      </c>
      <c r="I403" t="s">
        <v>636</v>
      </c>
      <c r="J403" s="21">
        <f>Table1[[#This Row],[interactions]]/Table1[[#This Row],[Attendance]]</f>
        <v>1</v>
      </c>
    </row>
    <row r="404" spans="1:10" x14ac:dyDescent="0.2">
      <c r="A404" t="s">
        <v>11</v>
      </c>
      <c r="B404" t="s">
        <v>776</v>
      </c>
      <c r="C404" s="1">
        <v>45933</v>
      </c>
      <c r="D404" t="s">
        <v>366</v>
      </c>
      <c r="E404">
        <v>45</v>
      </c>
      <c r="F404" s="18">
        <v>45</v>
      </c>
      <c r="H404" t="s">
        <v>608</v>
      </c>
      <c r="I404" t="s">
        <v>697</v>
      </c>
      <c r="J404" s="21">
        <f>Table1[[#This Row],[interactions]]/Table1[[#This Row],[Attendance]]</f>
        <v>1</v>
      </c>
    </row>
    <row r="405" spans="1:10" x14ac:dyDescent="0.2">
      <c r="A405" t="s">
        <v>11</v>
      </c>
      <c r="B405" t="s">
        <v>1010</v>
      </c>
      <c r="C405" s="1">
        <v>45932</v>
      </c>
      <c r="D405" t="s">
        <v>366</v>
      </c>
      <c r="E405">
        <v>45</v>
      </c>
      <c r="F405" s="18">
        <v>45</v>
      </c>
      <c r="H405" t="s">
        <v>621</v>
      </c>
      <c r="I405" t="s">
        <v>802</v>
      </c>
      <c r="J405" s="21">
        <f>Table1[[#This Row],[interactions]]/Table1[[#This Row],[Attendance]]</f>
        <v>1</v>
      </c>
    </row>
    <row r="406" spans="1:10" x14ac:dyDescent="0.2">
      <c r="A406" t="s">
        <v>11</v>
      </c>
      <c r="B406" t="s">
        <v>1504</v>
      </c>
      <c r="C406" s="1">
        <v>45889</v>
      </c>
      <c r="D406" t="s">
        <v>1386</v>
      </c>
      <c r="E406">
        <v>45</v>
      </c>
      <c r="F406" s="18">
        <v>45</v>
      </c>
      <c r="G406" t="s">
        <v>1503</v>
      </c>
      <c r="H406" t="s">
        <v>649</v>
      </c>
      <c r="I406" t="s">
        <v>1494</v>
      </c>
      <c r="J406" s="21">
        <f>Table1[[#This Row],[interactions]]/Table1[[#This Row],[Attendance]]</f>
        <v>1</v>
      </c>
    </row>
    <row r="407" spans="1:10" x14ac:dyDescent="0.2">
      <c r="A407" t="s">
        <v>11</v>
      </c>
      <c r="B407" t="s">
        <v>1508</v>
      </c>
      <c r="C407" s="1">
        <v>45883</v>
      </c>
      <c r="D407" t="s">
        <v>217</v>
      </c>
      <c r="E407">
        <v>45</v>
      </c>
      <c r="F407" s="18">
        <v>45</v>
      </c>
      <c r="H407" t="s">
        <v>649</v>
      </c>
      <c r="I407" t="s">
        <v>1509</v>
      </c>
      <c r="J407" s="21">
        <f>Table1[[#This Row],[interactions]]/Table1[[#This Row],[Attendance]]</f>
        <v>1</v>
      </c>
    </row>
    <row r="408" spans="1:10" x14ac:dyDescent="0.2">
      <c r="A408" t="s">
        <v>11</v>
      </c>
      <c r="B408" t="s">
        <v>611</v>
      </c>
      <c r="C408" s="1">
        <v>45827</v>
      </c>
      <c r="D408" t="s">
        <v>217</v>
      </c>
      <c r="E408">
        <v>45</v>
      </c>
      <c r="F408" s="18">
        <v>45</v>
      </c>
      <c r="H408" t="s">
        <v>608</v>
      </c>
      <c r="I408" t="s">
        <v>610</v>
      </c>
      <c r="J408" s="21">
        <f>Table1[[#This Row],[interactions]]/Table1[[#This Row],[Attendance]]</f>
        <v>1</v>
      </c>
    </row>
    <row r="409" spans="1:10" x14ac:dyDescent="0.2">
      <c r="A409" t="s">
        <v>11</v>
      </c>
      <c r="B409" t="s">
        <v>1559</v>
      </c>
      <c r="C409" s="1">
        <v>45800</v>
      </c>
      <c r="D409" t="s">
        <v>288</v>
      </c>
      <c r="E409">
        <v>45</v>
      </c>
      <c r="F409" s="18">
        <v>45</v>
      </c>
      <c r="H409" t="s">
        <v>621</v>
      </c>
      <c r="I409" t="s">
        <v>648</v>
      </c>
      <c r="J409" s="21">
        <f>Table1[[#This Row],[interactions]]/Table1[[#This Row],[Attendance]]</f>
        <v>1</v>
      </c>
    </row>
    <row r="410" spans="1:10" x14ac:dyDescent="0.2">
      <c r="A410" t="s">
        <v>11</v>
      </c>
      <c r="B410" t="s">
        <v>776</v>
      </c>
      <c r="C410" s="1">
        <v>45723</v>
      </c>
      <c r="D410" t="s">
        <v>217</v>
      </c>
      <c r="E410">
        <v>45</v>
      </c>
      <c r="F410" s="18">
        <v>45</v>
      </c>
      <c r="G410" t="s">
        <v>1616</v>
      </c>
      <c r="H410" t="s">
        <v>608</v>
      </c>
      <c r="I410" t="s">
        <v>697</v>
      </c>
      <c r="J410" s="21">
        <f>Table1[[#This Row],[interactions]]/Table1[[#This Row],[Attendance]]</f>
        <v>1</v>
      </c>
    </row>
    <row r="411" spans="1:10" x14ac:dyDescent="0.2">
      <c r="A411" t="s">
        <v>11</v>
      </c>
      <c r="B411" t="s">
        <v>650</v>
      </c>
      <c r="C411" s="1">
        <v>45631</v>
      </c>
      <c r="D411" t="s">
        <v>217</v>
      </c>
      <c r="E411">
        <v>45</v>
      </c>
      <c r="F411" s="18">
        <v>45</v>
      </c>
      <c r="H411" t="s">
        <v>649</v>
      </c>
      <c r="I411" t="s">
        <v>651</v>
      </c>
      <c r="J411" s="21">
        <f>Table1[[#This Row],[interactions]]/Table1[[#This Row],[Attendance]]</f>
        <v>1</v>
      </c>
    </row>
    <row r="412" spans="1:10" x14ac:dyDescent="0.2">
      <c r="A412" t="s">
        <v>11</v>
      </c>
      <c r="B412" t="s">
        <v>738</v>
      </c>
      <c r="C412" s="1">
        <v>45587</v>
      </c>
      <c r="D412" t="s">
        <v>737</v>
      </c>
      <c r="E412">
        <v>45</v>
      </c>
      <c r="F412" s="18">
        <v>45</v>
      </c>
      <c r="H412" t="s">
        <v>621</v>
      </c>
      <c r="I412" t="s">
        <v>623</v>
      </c>
      <c r="J412" s="21">
        <f>Table1[[#This Row],[interactions]]/Table1[[#This Row],[Attendance]]</f>
        <v>1</v>
      </c>
    </row>
    <row r="413" spans="1:10" x14ac:dyDescent="0.2">
      <c r="A413" t="s">
        <v>11</v>
      </c>
      <c r="B413" t="s">
        <v>891</v>
      </c>
      <c r="C413" s="1">
        <v>45540</v>
      </c>
      <c r="D413" t="s">
        <v>217</v>
      </c>
      <c r="E413">
        <v>45</v>
      </c>
      <c r="F413" s="18">
        <v>45</v>
      </c>
      <c r="G413" t="s">
        <v>890</v>
      </c>
      <c r="H413" t="s">
        <v>215</v>
      </c>
      <c r="I413" t="s">
        <v>651</v>
      </c>
      <c r="J413" s="21">
        <f>Table1[[#This Row],[interactions]]/Table1[[#This Row],[Attendance]]</f>
        <v>1</v>
      </c>
    </row>
    <row r="414" spans="1:10" x14ac:dyDescent="0.2">
      <c r="A414" t="s">
        <v>11</v>
      </c>
      <c r="B414" t="s">
        <v>999</v>
      </c>
      <c r="C414" s="1">
        <v>45499</v>
      </c>
      <c r="D414" t="s">
        <v>217</v>
      </c>
      <c r="E414">
        <v>45</v>
      </c>
      <c r="F414" s="18">
        <v>45</v>
      </c>
      <c r="G414" t="s">
        <v>998</v>
      </c>
      <c r="H414" t="s">
        <v>797</v>
      </c>
      <c r="I414" t="s">
        <v>844</v>
      </c>
      <c r="J414" s="21">
        <f>Table1[[#This Row],[interactions]]/Table1[[#This Row],[Attendance]]</f>
        <v>1</v>
      </c>
    </row>
    <row r="415" spans="1:10" x14ac:dyDescent="0.2">
      <c r="A415" t="s">
        <v>11</v>
      </c>
      <c r="B415" t="s">
        <v>60</v>
      </c>
      <c r="C415" s="1">
        <v>45498</v>
      </c>
      <c r="D415" t="s">
        <v>217</v>
      </c>
      <c r="E415">
        <v>45</v>
      </c>
      <c r="F415" s="18">
        <v>45</v>
      </c>
      <c r="G415" t="s">
        <v>1008</v>
      </c>
      <c r="H415" t="s">
        <v>215</v>
      </c>
      <c r="I415" t="s">
        <v>603</v>
      </c>
      <c r="J415" s="21">
        <f>Table1[[#This Row],[interactions]]/Table1[[#This Row],[Attendance]]</f>
        <v>1</v>
      </c>
    </row>
    <row r="416" spans="1:10" x14ac:dyDescent="0.2">
      <c r="A416" t="s">
        <v>11</v>
      </c>
      <c r="B416" t="s">
        <v>1129</v>
      </c>
      <c r="C416" s="1">
        <v>45449</v>
      </c>
      <c r="D416" t="s">
        <v>217</v>
      </c>
      <c r="E416">
        <v>45</v>
      </c>
      <c r="F416" s="18">
        <v>45</v>
      </c>
      <c r="G416" t="s">
        <v>1128</v>
      </c>
      <c r="H416" t="s">
        <v>490</v>
      </c>
      <c r="J416" s="21">
        <f>Table1[[#This Row],[interactions]]/Table1[[#This Row],[Attendance]]</f>
        <v>1</v>
      </c>
    </row>
    <row r="417" spans="1:10" x14ac:dyDescent="0.2">
      <c r="A417" t="s">
        <v>11</v>
      </c>
      <c r="B417" t="s">
        <v>1355</v>
      </c>
      <c r="C417" s="1">
        <v>45309</v>
      </c>
      <c r="D417" t="s">
        <v>366</v>
      </c>
      <c r="E417">
        <v>45</v>
      </c>
      <c r="F417" s="18">
        <v>45</v>
      </c>
      <c r="G417" t="s">
        <v>1354</v>
      </c>
      <c r="H417" t="s">
        <v>215</v>
      </c>
      <c r="J417" s="21">
        <f>Table1[[#This Row],[interactions]]/Table1[[#This Row],[Attendance]]</f>
        <v>1</v>
      </c>
    </row>
    <row r="418" spans="1:10" x14ac:dyDescent="0.2">
      <c r="A418" t="s">
        <v>11</v>
      </c>
      <c r="B418" t="s">
        <v>402</v>
      </c>
      <c r="C418" s="1">
        <v>45141</v>
      </c>
      <c r="D418" t="s">
        <v>217</v>
      </c>
      <c r="E418">
        <v>45</v>
      </c>
      <c r="F418" s="18">
        <v>45</v>
      </c>
      <c r="G418" t="s">
        <v>401</v>
      </c>
      <c r="H418" t="s">
        <v>215</v>
      </c>
      <c r="I418" t="s">
        <v>631</v>
      </c>
      <c r="J418" s="21">
        <f>Table1[[#This Row],[interactions]]/Table1[[#This Row],[Attendance]]</f>
        <v>1</v>
      </c>
    </row>
    <row r="419" spans="1:10" x14ac:dyDescent="0.2">
      <c r="A419" t="s">
        <v>11</v>
      </c>
      <c r="B419" t="s">
        <v>922</v>
      </c>
      <c r="C419" s="1">
        <v>45905</v>
      </c>
      <c r="D419" t="s">
        <v>217</v>
      </c>
      <c r="E419">
        <v>50</v>
      </c>
      <c r="F419" s="18">
        <v>50</v>
      </c>
      <c r="H419" t="s">
        <v>649</v>
      </c>
      <c r="I419" t="s">
        <v>603</v>
      </c>
      <c r="J419" s="21">
        <f>Table1[[#This Row],[interactions]]/Table1[[#This Row],[Attendance]]</f>
        <v>1</v>
      </c>
    </row>
    <row r="420" spans="1:10" x14ac:dyDescent="0.2">
      <c r="A420" t="s">
        <v>11</v>
      </c>
      <c r="B420" t="s">
        <v>1513</v>
      </c>
      <c r="C420" s="1">
        <v>45854</v>
      </c>
      <c r="D420" t="s">
        <v>217</v>
      </c>
      <c r="E420">
        <v>50</v>
      </c>
      <c r="F420" s="18">
        <v>50</v>
      </c>
      <c r="H420" t="s">
        <v>608</v>
      </c>
      <c r="I420" t="s">
        <v>697</v>
      </c>
      <c r="J420" s="21">
        <f>Table1[[#This Row],[interactions]]/Table1[[#This Row],[Attendance]]</f>
        <v>1</v>
      </c>
    </row>
    <row r="421" spans="1:10" x14ac:dyDescent="0.2">
      <c r="A421" t="s">
        <v>11</v>
      </c>
      <c r="B421" t="s">
        <v>1535</v>
      </c>
      <c r="C421" s="1">
        <v>45848</v>
      </c>
      <c r="D421" t="s">
        <v>217</v>
      </c>
      <c r="E421">
        <v>50</v>
      </c>
      <c r="F421" s="18">
        <v>50</v>
      </c>
      <c r="H421" t="s">
        <v>649</v>
      </c>
      <c r="I421" t="s">
        <v>651</v>
      </c>
      <c r="J421" s="21">
        <f>Table1[[#This Row],[interactions]]/Table1[[#This Row],[Attendance]]</f>
        <v>1</v>
      </c>
    </row>
    <row r="422" spans="1:10" x14ac:dyDescent="0.2">
      <c r="A422" t="s">
        <v>11</v>
      </c>
      <c r="B422" t="s">
        <v>1561</v>
      </c>
      <c r="C422" s="1">
        <v>45799</v>
      </c>
      <c r="D422" t="s">
        <v>288</v>
      </c>
      <c r="E422">
        <v>50</v>
      </c>
      <c r="F422" s="18">
        <v>50</v>
      </c>
      <c r="H422" t="s">
        <v>1404</v>
      </c>
      <c r="I422" t="s">
        <v>603</v>
      </c>
      <c r="J422" s="21">
        <f>Table1[[#This Row],[interactions]]/Table1[[#This Row],[Attendance]]</f>
        <v>1</v>
      </c>
    </row>
    <row r="423" spans="1:10" x14ac:dyDescent="0.2">
      <c r="A423" t="s">
        <v>11</v>
      </c>
      <c r="B423" t="s">
        <v>1612</v>
      </c>
      <c r="C423" s="1">
        <v>45729</v>
      </c>
      <c r="D423" t="s">
        <v>366</v>
      </c>
      <c r="E423">
        <v>50</v>
      </c>
      <c r="F423" s="18">
        <v>50</v>
      </c>
      <c r="H423" t="s">
        <v>1409</v>
      </c>
      <c r="I423" t="s">
        <v>636</v>
      </c>
      <c r="J423" s="21">
        <f>Table1[[#This Row],[interactions]]/Table1[[#This Row],[Attendance]]</f>
        <v>1</v>
      </c>
    </row>
    <row r="424" spans="1:10" x14ac:dyDescent="0.2">
      <c r="A424" t="s">
        <v>11</v>
      </c>
      <c r="B424" t="s">
        <v>1500</v>
      </c>
      <c r="C424" s="1">
        <v>45720</v>
      </c>
      <c r="D424" t="s">
        <v>366</v>
      </c>
      <c r="E424">
        <v>50</v>
      </c>
      <c r="F424" s="18">
        <v>50</v>
      </c>
      <c r="G424" t="s">
        <v>1621</v>
      </c>
      <c r="H424" t="s">
        <v>621</v>
      </c>
      <c r="I424" t="s">
        <v>623</v>
      </c>
      <c r="J424" s="21">
        <f>Table1[[#This Row],[interactions]]/Table1[[#This Row],[Attendance]]</f>
        <v>1</v>
      </c>
    </row>
    <row r="425" spans="1:10" x14ac:dyDescent="0.2">
      <c r="A425" t="s">
        <v>11</v>
      </c>
      <c r="B425" t="s">
        <v>1628</v>
      </c>
      <c r="C425" s="1">
        <v>45715</v>
      </c>
      <c r="D425" t="s">
        <v>217</v>
      </c>
      <c r="E425">
        <v>50</v>
      </c>
      <c r="F425" s="18">
        <v>50</v>
      </c>
      <c r="H425" t="s">
        <v>649</v>
      </c>
      <c r="I425" t="s">
        <v>603</v>
      </c>
      <c r="J425" s="21">
        <f>Table1[[#This Row],[interactions]]/Table1[[#This Row],[Attendance]]</f>
        <v>1</v>
      </c>
    </row>
    <row r="426" spans="1:10" x14ac:dyDescent="0.2">
      <c r="A426" t="s">
        <v>11</v>
      </c>
      <c r="B426" t="s">
        <v>1316</v>
      </c>
      <c r="C426" s="1">
        <v>45666</v>
      </c>
      <c r="D426" t="s">
        <v>217</v>
      </c>
      <c r="E426">
        <v>50</v>
      </c>
      <c r="F426" s="18">
        <v>50</v>
      </c>
      <c r="G426" t="s">
        <v>1666</v>
      </c>
      <c r="H426" t="s">
        <v>1532</v>
      </c>
      <c r="I426" t="s">
        <v>651</v>
      </c>
      <c r="J426" s="21">
        <f>Table1[[#This Row],[interactions]]/Table1[[#This Row],[Attendance]]</f>
        <v>1</v>
      </c>
    </row>
    <row r="427" spans="1:10" x14ac:dyDescent="0.2">
      <c r="A427" t="s">
        <v>11</v>
      </c>
      <c r="B427" t="s">
        <v>930</v>
      </c>
      <c r="C427" s="1">
        <v>45525</v>
      </c>
      <c r="D427" t="s">
        <v>217</v>
      </c>
      <c r="E427">
        <v>50</v>
      </c>
      <c r="F427" s="18">
        <v>50</v>
      </c>
      <c r="G427" t="s">
        <v>929</v>
      </c>
      <c r="H427" t="s">
        <v>928</v>
      </c>
      <c r="I427" t="s">
        <v>593</v>
      </c>
      <c r="J427" s="21">
        <f>Table1[[#This Row],[interactions]]/Table1[[#This Row],[Attendance]]</f>
        <v>1</v>
      </c>
    </row>
    <row r="428" spans="1:10" x14ac:dyDescent="0.2">
      <c r="A428" t="s">
        <v>11</v>
      </c>
      <c r="B428" t="s">
        <v>19</v>
      </c>
      <c r="C428" s="1">
        <v>45506</v>
      </c>
      <c r="D428" t="s">
        <v>217</v>
      </c>
      <c r="E428">
        <v>50</v>
      </c>
      <c r="F428" s="18">
        <v>50</v>
      </c>
      <c r="G428" t="s">
        <v>979</v>
      </c>
      <c r="I428" t="s">
        <v>603</v>
      </c>
      <c r="J428" s="21">
        <f>Table1[[#This Row],[interactions]]/Table1[[#This Row],[Attendance]]</f>
        <v>1</v>
      </c>
    </row>
    <row r="429" spans="1:10" x14ac:dyDescent="0.2">
      <c r="A429" t="s">
        <v>11</v>
      </c>
      <c r="B429" t="s">
        <v>983</v>
      </c>
      <c r="C429" s="1">
        <v>45505</v>
      </c>
      <c r="D429" t="s">
        <v>217</v>
      </c>
      <c r="E429">
        <v>50</v>
      </c>
      <c r="F429" s="18">
        <v>50</v>
      </c>
      <c r="G429" t="s">
        <v>982</v>
      </c>
      <c r="H429" t="s">
        <v>215</v>
      </c>
      <c r="I429" t="s">
        <v>651</v>
      </c>
      <c r="J429" s="21">
        <f>Table1[[#This Row],[interactions]]/Table1[[#This Row],[Attendance]]</f>
        <v>1</v>
      </c>
    </row>
    <row r="430" spans="1:10" x14ac:dyDescent="0.2">
      <c r="A430" t="s">
        <v>11</v>
      </c>
      <c r="B430" t="s">
        <v>1365</v>
      </c>
      <c r="C430" s="1">
        <v>45302</v>
      </c>
      <c r="D430" t="s">
        <v>366</v>
      </c>
      <c r="E430">
        <v>50</v>
      </c>
      <c r="F430" s="18">
        <v>50</v>
      </c>
      <c r="G430" t="s">
        <v>1364</v>
      </c>
      <c r="H430" t="s">
        <v>1208</v>
      </c>
      <c r="J430" s="21">
        <f>Table1[[#This Row],[interactions]]/Table1[[#This Row],[Attendance]]</f>
        <v>1</v>
      </c>
    </row>
    <row r="431" spans="1:10" x14ac:dyDescent="0.2">
      <c r="A431" t="s">
        <v>11</v>
      </c>
      <c r="B431" t="s">
        <v>310</v>
      </c>
      <c r="C431" s="1">
        <v>45210</v>
      </c>
      <c r="D431" t="s">
        <v>217</v>
      </c>
      <c r="E431">
        <v>50</v>
      </c>
      <c r="F431" s="18">
        <v>50</v>
      </c>
      <c r="G431" t="s">
        <v>309</v>
      </c>
      <c r="H431" t="s">
        <v>229</v>
      </c>
      <c r="I431" t="s">
        <v>631</v>
      </c>
      <c r="J431" s="21">
        <f>Table1[[#This Row],[interactions]]/Table1[[#This Row],[Attendance]]</f>
        <v>1</v>
      </c>
    </row>
    <row r="432" spans="1:10" x14ac:dyDescent="0.2">
      <c r="A432" t="s">
        <v>11</v>
      </c>
      <c r="B432" t="s">
        <v>377</v>
      </c>
      <c r="C432" s="1">
        <v>45162</v>
      </c>
      <c r="D432" t="s">
        <v>375</v>
      </c>
      <c r="E432">
        <v>50</v>
      </c>
      <c r="F432" s="18">
        <v>50</v>
      </c>
      <c r="G432" t="s">
        <v>376</v>
      </c>
      <c r="H432" t="s">
        <v>22</v>
      </c>
      <c r="I432" t="s">
        <v>631</v>
      </c>
      <c r="J432" s="21">
        <f>Table1[[#This Row],[interactions]]/Table1[[#This Row],[Attendance]]</f>
        <v>1</v>
      </c>
    </row>
    <row r="433" spans="1:10" x14ac:dyDescent="0.2">
      <c r="A433" t="s">
        <v>11</v>
      </c>
      <c r="B433" t="s">
        <v>402</v>
      </c>
      <c r="C433" s="1">
        <v>45022</v>
      </c>
      <c r="D433" t="s">
        <v>366</v>
      </c>
      <c r="E433">
        <v>50</v>
      </c>
      <c r="F433" s="18">
        <v>50</v>
      </c>
      <c r="G433" t="s">
        <v>497</v>
      </c>
      <c r="H433" t="s">
        <v>215</v>
      </c>
      <c r="I433" t="s">
        <v>631</v>
      </c>
      <c r="J433" s="21">
        <f>Table1[[#This Row],[interactions]]/Table1[[#This Row],[Attendance]]</f>
        <v>1</v>
      </c>
    </row>
    <row r="434" spans="1:10" x14ac:dyDescent="0.2">
      <c r="A434" t="s">
        <v>11</v>
      </c>
      <c r="B434" t="s">
        <v>520</v>
      </c>
      <c r="C434" s="1">
        <v>44993</v>
      </c>
      <c r="D434" t="s">
        <v>366</v>
      </c>
      <c r="E434">
        <v>50</v>
      </c>
      <c r="F434" s="18">
        <v>50</v>
      </c>
      <c r="G434" t="s">
        <v>519</v>
      </c>
      <c r="H434" t="s">
        <v>490</v>
      </c>
      <c r="I434" t="s">
        <v>631</v>
      </c>
      <c r="J434" s="21">
        <f>Table1[[#This Row],[interactions]]/Table1[[#This Row],[Attendance]]</f>
        <v>1</v>
      </c>
    </row>
    <row r="435" spans="1:10" x14ac:dyDescent="0.2">
      <c r="A435" t="s">
        <v>11</v>
      </c>
      <c r="B435" t="s">
        <v>47</v>
      </c>
      <c r="C435" s="1">
        <v>44628</v>
      </c>
      <c r="D435" t="s">
        <v>192</v>
      </c>
      <c r="E435">
        <v>50</v>
      </c>
      <c r="F435" s="18">
        <v>50</v>
      </c>
      <c r="G435" t="s">
        <v>199</v>
      </c>
      <c r="H435" t="s">
        <v>22</v>
      </c>
      <c r="I435" t="s">
        <v>631</v>
      </c>
      <c r="J435" s="21">
        <f>Table1[[#This Row],[interactions]]/Table1[[#This Row],[Attendance]]</f>
        <v>1</v>
      </c>
    </row>
    <row r="436" spans="1:10" x14ac:dyDescent="0.2">
      <c r="A436" t="s">
        <v>11</v>
      </c>
      <c r="B436" t="s">
        <v>60</v>
      </c>
      <c r="C436" s="1">
        <v>44497</v>
      </c>
      <c r="D436" t="s">
        <v>38</v>
      </c>
      <c r="E436">
        <v>50</v>
      </c>
      <c r="F436" s="18">
        <v>50</v>
      </c>
      <c r="G436" t="s">
        <v>61</v>
      </c>
      <c r="H436" t="s">
        <v>22</v>
      </c>
      <c r="I436" t="s">
        <v>631</v>
      </c>
      <c r="J436" s="21">
        <f>Table1[[#This Row],[interactions]]/Table1[[#This Row],[Attendance]]</f>
        <v>1</v>
      </c>
    </row>
    <row r="437" spans="1:10" x14ac:dyDescent="0.2">
      <c r="A437" t="s">
        <v>11</v>
      </c>
      <c r="B437" t="s">
        <v>1512</v>
      </c>
      <c r="C437" s="1">
        <v>45883</v>
      </c>
      <c r="D437" t="s">
        <v>217</v>
      </c>
      <c r="E437">
        <v>51</v>
      </c>
      <c r="F437" s="18">
        <v>51</v>
      </c>
      <c r="H437" t="s">
        <v>1409</v>
      </c>
      <c r="I437" t="s">
        <v>636</v>
      </c>
      <c r="J437" s="21">
        <f>Table1[[#This Row],[interactions]]/Table1[[#This Row],[Attendance]]</f>
        <v>1</v>
      </c>
    </row>
    <row r="438" spans="1:10" x14ac:dyDescent="0.2">
      <c r="A438" t="s">
        <v>11</v>
      </c>
      <c r="B438" t="s">
        <v>1106</v>
      </c>
      <c r="C438" s="1">
        <v>45848</v>
      </c>
      <c r="D438" t="s">
        <v>217</v>
      </c>
      <c r="E438">
        <v>53</v>
      </c>
      <c r="F438" s="18">
        <v>53</v>
      </c>
      <c r="H438" t="s">
        <v>1409</v>
      </c>
      <c r="I438" t="s">
        <v>636</v>
      </c>
      <c r="J438" s="21">
        <f>Table1[[#This Row],[interactions]]/Table1[[#This Row],[Attendance]]</f>
        <v>1</v>
      </c>
    </row>
    <row r="439" spans="1:10" x14ac:dyDescent="0.2">
      <c r="A439" t="s">
        <v>11</v>
      </c>
      <c r="B439" t="s">
        <v>781</v>
      </c>
      <c r="C439" s="1">
        <v>45555</v>
      </c>
      <c r="D439" t="s">
        <v>217</v>
      </c>
      <c r="E439">
        <v>53</v>
      </c>
      <c r="F439" s="18">
        <v>53</v>
      </c>
      <c r="H439" t="s">
        <v>612</v>
      </c>
      <c r="I439" t="s">
        <v>639</v>
      </c>
      <c r="J439" s="21">
        <f>Table1[[#This Row],[interactions]]/Table1[[#This Row],[Attendance]]</f>
        <v>1</v>
      </c>
    </row>
    <row r="440" spans="1:10" x14ac:dyDescent="0.2">
      <c r="A440" t="s">
        <v>11</v>
      </c>
      <c r="B440" t="s">
        <v>234</v>
      </c>
      <c r="C440" s="1">
        <v>45951</v>
      </c>
      <c r="D440" t="s">
        <v>217</v>
      </c>
      <c r="E440">
        <v>55</v>
      </c>
      <c r="F440" s="18">
        <v>55</v>
      </c>
      <c r="H440" t="s">
        <v>1069</v>
      </c>
      <c r="I440" t="s">
        <v>627</v>
      </c>
      <c r="J440" s="21">
        <f>Table1[[#This Row],[interactions]]/Table1[[#This Row],[Attendance]]</f>
        <v>1</v>
      </c>
    </row>
    <row r="441" spans="1:10" x14ac:dyDescent="0.2">
      <c r="A441" t="s">
        <v>11</v>
      </c>
      <c r="B441" t="s">
        <v>1533</v>
      </c>
      <c r="C441" s="1">
        <v>45849</v>
      </c>
      <c r="D441" t="s">
        <v>217</v>
      </c>
      <c r="E441">
        <v>55</v>
      </c>
      <c r="F441" s="18">
        <v>55</v>
      </c>
      <c r="H441" t="s">
        <v>1532</v>
      </c>
      <c r="I441" t="s">
        <v>603</v>
      </c>
      <c r="J441" s="21">
        <f>Table1[[#This Row],[interactions]]/Table1[[#This Row],[Attendance]]</f>
        <v>1</v>
      </c>
    </row>
    <row r="442" spans="1:10" x14ac:dyDescent="0.2">
      <c r="A442" t="s">
        <v>11</v>
      </c>
      <c r="B442" t="s">
        <v>635</v>
      </c>
      <c r="C442" s="1">
        <v>45785</v>
      </c>
      <c r="D442" t="s">
        <v>217</v>
      </c>
      <c r="E442">
        <v>55</v>
      </c>
      <c r="F442" s="18">
        <v>55</v>
      </c>
      <c r="H442" t="s">
        <v>1409</v>
      </c>
      <c r="I442" t="s">
        <v>636</v>
      </c>
      <c r="J442" s="21">
        <f>Table1[[#This Row],[interactions]]/Table1[[#This Row],[Attendance]]</f>
        <v>1</v>
      </c>
    </row>
    <row r="443" spans="1:10" x14ac:dyDescent="0.2">
      <c r="A443" t="s">
        <v>11</v>
      </c>
      <c r="B443" t="s">
        <v>635</v>
      </c>
      <c r="C443" s="1">
        <v>45755</v>
      </c>
      <c r="D443" t="s">
        <v>217</v>
      </c>
      <c r="E443">
        <v>55</v>
      </c>
      <c r="F443" s="18">
        <v>55</v>
      </c>
      <c r="H443" t="s">
        <v>1409</v>
      </c>
      <c r="I443" t="s">
        <v>636</v>
      </c>
      <c r="J443" s="21">
        <f>Table1[[#This Row],[interactions]]/Table1[[#This Row],[Attendance]]</f>
        <v>1</v>
      </c>
    </row>
    <row r="444" spans="1:10" x14ac:dyDescent="0.2">
      <c r="A444" t="s">
        <v>11</v>
      </c>
      <c r="B444" t="s">
        <v>635</v>
      </c>
      <c r="C444" s="1">
        <v>45638</v>
      </c>
      <c r="D444" t="s">
        <v>366</v>
      </c>
      <c r="E444">
        <v>55</v>
      </c>
      <c r="F444" s="18">
        <v>55</v>
      </c>
      <c r="G444" t="s">
        <v>634</v>
      </c>
      <c r="H444" t="s">
        <v>612</v>
      </c>
      <c r="I444" t="s">
        <v>636</v>
      </c>
      <c r="J444" s="21">
        <f>Table1[[#This Row],[interactions]]/Table1[[#This Row],[Attendance]]</f>
        <v>1</v>
      </c>
    </row>
    <row r="445" spans="1:10" x14ac:dyDescent="0.2">
      <c r="A445" t="s">
        <v>11</v>
      </c>
      <c r="B445" t="s">
        <v>602</v>
      </c>
      <c r="C445" s="1">
        <v>45561</v>
      </c>
      <c r="D445" t="s">
        <v>217</v>
      </c>
      <c r="E445">
        <v>55</v>
      </c>
      <c r="F445" s="18">
        <v>55</v>
      </c>
      <c r="G445" t="s">
        <v>804</v>
      </c>
      <c r="H445" t="s">
        <v>215</v>
      </c>
      <c r="I445" t="s">
        <v>603</v>
      </c>
      <c r="J445" s="21">
        <f>Table1[[#This Row],[interactions]]/Table1[[#This Row],[Attendance]]</f>
        <v>1</v>
      </c>
    </row>
    <row r="446" spans="1:10" x14ac:dyDescent="0.2">
      <c r="A446" s="15" t="s">
        <v>11</v>
      </c>
      <c r="B446" t="s">
        <v>922</v>
      </c>
      <c r="C446" s="1">
        <v>45526</v>
      </c>
      <c r="D446" t="s">
        <v>217</v>
      </c>
      <c r="E446">
        <v>55</v>
      </c>
      <c r="F446" s="18">
        <v>55</v>
      </c>
      <c r="G446" t="s">
        <v>921</v>
      </c>
      <c r="H446" t="s">
        <v>215</v>
      </c>
      <c r="I446" t="s">
        <v>603</v>
      </c>
      <c r="J446" s="21">
        <f>Table1[[#This Row],[interactions]]/Table1[[#This Row],[Attendance]]</f>
        <v>1</v>
      </c>
    </row>
    <row r="447" spans="1:10" x14ac:dyDescent="0.2">
      <c r="A447" s="15" t="s">
        <v>11</v>
      </c>
      <c r="B447" t="s">
        <v>1430</v>
      </c>
      <c r="C447" s="1">
        <v>45933</v>
      </c>
      <c r="D447" t="s">
        <v>217</v>
      </c>
      <c r="E447">
        <v>57</v>
      </c>
      <c r="F447" s="18">
        <v>57</v>
      </c>
      <c r="H447" t="s">
        <v>649</v>
      </c>
      <c r="I447" t="s">
        <v>603</v>
      </c>
      <c r="J447" s="21">
        <f>Table1[[#This Row],[interactions]]/Table1[[#This Row],[Attendance]]</f>
        <v>1</v>
      </c>
    </row>
    <row r="448" spans="1:10" x14ac:dyDescent="0.2">
      <c r="A448" s="15" t="s">
        <v>11</v>
      </c>
      <c r="B448" t="s">
        <v>908</v>
      </c>
      <c r="C448" s="1">
        <v>45532</v>
      </c>
      <c r="D448" t="s">
        <v>217</v>
      </c>
      <c r="E448">
        <v>60</v>
      </c>
      <c r="F448" s="18">
        <v>60</v>
      </c>
      <c r="G448" t="s">
        <v>907</v>
      </c>
      <c r="H448" t="s">
        <v>608</v>
      </c>
      <c r="I448" t="s">
        <v>627</v>
      </c>
      <c r="J448" s="21">
        <f>Table1[[#This Row],[interactions]]/Table1[[#This Row],[Attendance]]</f>
        <v>1</v>
      </c>
    </row>
    <row r="449" spans="1:10" x14ac:dyDescent="0.2">
      <c r="A449" s="15" t="s">
        <v>11</v>
      </c>
      <c r="B449" t="s">
        <v>243</v>
      </c>
      <c r="C449" s="1">
        <v>45301</v>
      </c>
      <c r="D449" t="s">
        <v>366</v>
      </c>
      <c r="E449">
        <v>60</v>
      </c>
      <c r="F449" s="18">
        <v>60</v>
      </c>
      <c r="G449" t="s">
        <v>1367</v>
      </c>
      <c r="H449" t="s">
        <v>1208</v>
      </c>
      <c r="J449" s="21">
        <f>Table1[[#This Row],[interactions]]/Table1[[#This Row],[Attendance]]</f>
        <v>1</v>
      </c>
    </row>
    <row r="450" spans="1:10" x14ac:dyDescent="0.2">
      <c r="A450" s="15" t="s">
        <v>11</v>
      </c>
      <c r="B450" t="s">
        <v>267</v>
      </c>
      <c r="C450" s="1">
        <v>45238</v>
      </c>
      <c r="D450" t="s">
        <v>217</v>
      </c>
      <c r="E450">
        <v>60</v>
      </c>
      <c r="F450" s="18">
        <v>60</v>
      </c>
      <c r="G450" t="s">
        <v>266</v>
      </c>
      <c r="H450" t="s">
        <v>229</v>
      </c>
      <c r="I450" t="s">
        <v>631</v>
      </c>
      <c r="J450" s="21">
        <f>Table1[[#This Row],[interactions]]/Table1[[#This Row],[Attendance]]</f>
        <v>1</v>
      </c>
    </row>
    <row r="451" spans="1:10" x14ac:dyDescent="0.2">
      <c r="A451" t="s">
        <v>11</v>
      </c>
      <c r="B451" t="s">
        <v>367</v>
      </c>
      <c r="C451" s="1">
        <v>45170</v>
      </c>
      <c r="D451" t="s">
        <v>366</v>
      </c>
      <c r="E451">
        <v>60</v>
      </c>
      <c r="F451" s="18">
        <v>60</v>
      </c>
      <c r="G451" t="s">
        <v>365</v>
      </c>
      <c r="H451" t="s">
        <v>229</v>
      </c>
      <c r="I451" t="s">
        <v>631</v>
      </c>
      <c r="J451" s="21">
        <f>Table1[[#This Row],[interactions]]/Table1[[#This Row],[Attendance]]</f>
        <v>1</v>
      </c>
    </row>
    <row r="452" spans="1:10" x14ac:dyDescent="0.2">
      <c r="A452" t="s">
        <v>11</v>
      </c>
      <c r="B452" t="s">
        <v>47</v>
      </c>
      <c r="C452" s="1">
        <v>45090</v>
      </c>
      <c r="D452" t="s">
        <v>237</v>
      </c>
      <c r="E452">
        <v>60</v>
      </c>
      <c r="F452" s="18">
        <v>60</v>
      </c>
      <c r="H452" t="s">
        <v>22</v>
      </c>
      <c r="I452" t="s">
        <v>631</v>
      </c>
      <c r="J452" s="21">
        <f>Table1[[#This Row],[interactions]]/Table1[[#This Row],[Attendance]]</f>
        <v>1</v>
      </c>
    </row>
    <row r="453" spans="1:10" x14ac:dyDescent="0.2">
      <c r="A453" t="s">
        <v>11</v>
      </c>
      <c r="B453" t="s">
        <v>1378</v>
      </c>
      <c r="C453" s="1">
        <v>44971</v>
      </c>
      <c r="D453" t="s">
        <v>366</v>
      </c>
      <c r="E453">
        <v>60</v>
      </c>
      <c r="F453" s="18">
        <v>60</v>
      </c>
      <c r="G453" t="s">
        <v>1377</v>
      </c>
      <c r="H453" t="s">
        <v>1208</v>
      </c>
      <c r="J453" s="21">
        <f>Table1[[#This Row],[interactions]]/Table1[[#This Row],[Attendance]]</f>
        <v>1</v>
      </c>
    </row>
    <row r="454" spans="1:10" x14ac:dyDescent="0.2">
      <c r="A454" t="s">
        <v>11</v>
      </c>
      <c r="B454" t="s">
        <v>273</v>
      </c>
      <c r="C454" s="1">
        <v>45205</v>
      </c>
      <c r="D454" t="s">
        <v>217</v>
      </c>
      <c r="E454">
        <v>62</v>
      </c>
      <c r="F454" s="18">
        <v>62</v>
      </c>
      <c r="G454" t="s">
        <v>315</v>
      </c>
      <c r="H454" t="s">
        <v>229</v>
      </c>
      <c r="I454" t="s">
        <v>631</v>
      </c>
      <c r="J454" s="21">
        <f>Table1[[#This Row],[interactions]]/Table1[[#This Row],[Attendance]]</f>
        <v>1</v>
      </c>
    </row>
    <row r="455" spans="1:10" x14ac:dyDescent="0.2">
      <c r="A455" t="s">
        <v>11</v>
      </c>
      <c r="B455" t="s">
        <v>1106</v>
      </c>
      <c r="C455" s="1">
        <v>45701</v>
      </c>
      <c r="D455" t="s">
        <v>217</v>
      </c>
      <c r="E455">
        <v>63</v>
      </c>
      <c r="F455" s="18">
        <v>63</v>
      </c>
      <c r="H455" t="s">
        <v>1409</v>
      </c>
      <c r="I455" t="s">
        <v>636</v>
      </c>
      <c r="J455" s="21">
        <f>Table1[[#This Row],[interactions]]/Table1[[#This Row],[Attendance]]</f>
        <v>1</v>
      </c>
    </row>
    <row r="456" spans="1:10" x14ac:dyDescent="0.2">
      <c r="A456" t="s">
        <v>11</v>
      </c>
      <c r="B456" t="s">
        <v>1487</v>
      </c>
      <c r="C456" s="1">
        <v>45903</v>
      </c>
      <c r="D456" t="s">
        <v>366</v>
      </c>
      <c r="E456">
        <v>65</v>
      </c>
      <c r="F456" s="18">
        <v>65</v>
      </c>
      <c r="G456" t="s">
        <v>1486</v>
      </c>
      <c r="H456" t="s">
        <v>621</v>
      </c>
      <c r="I456" t="s">
        <v>625</v>
      </c>
      <c r="J456" s="21">
        <f>Table1[[#This Row],[interactions]]/Table1[[#This Row],[Attendance]]</f>
        <v>1</v>
      </c>
    </row>
    <row r="457" spans="1:10" x14ac:dyDescent="0.2">
      <c r="A457" t="s">
        <v>11</v>
      </c>
      <c r="B457" t="s">
        <v>724</v>
      </c>
      <c r="C457" s="1">
        <v>45897</v>
      </c>
      <c r="D457" t="s">
        <v>366</v>
      </c>
      <c r="E457">
        <v>65</v>
      </c>
      <c r="F457" s="18">
        <v>65</v>
      </c>
      <c r="H457" t="s">
        <v>621</v>
      </c>
      <c r="I457" t="s">
        <v>642</v>
      </c>
      <c r="J457" s="21">
        <f>Table1[[#This Row],[interactions]]/Table1[[#This Row],[Attendance]]</f>
        <v>1</v>
      </c>
    </row>
    <row r="458" spans="1:10" x14ac:dyDescent="0.2">
      <c r="A458" t="s">
        <v>11</v>
      </c>
      <c r="B458" t="s">
        <v>1463</v>
      </c>
      <c r="C458" s="1">
        <v>45917</v>
      </c>
      <c r="D458" t="s">
        <v>366</v>
      </c>
      <c r="E458">
        <v>70</v>
      </c>
      <c r="F458" s="18">
        <v>70</v>
      </c>
      <c r="H458" t="s">
        <v>608</v>
      </c>
      <c r="I458" t="s">
        <v>1464</v>
      </c>
      <c r="J458" s="21">
        <f>Table1[[#This Row],[interactions]]/Table1[[#This Row],[Attendance]]</f>
        <v>1</v>
      </c>
    </row>
    <row r="459" spans="1:10" x14ac:dyDescent="0.2">
      <c r="A459" t="s">
        <v>11</v>
      </c>
      <c r="B459" t="s">
        <v>1588</v>
      </c>
      <c r="C459" s="1">
        <v>45756</v>
      </c>
      <c r="D459" t="s">
        <v>366</v>
      </c>
      <c r="E459">
        <v>70</v>
      </c>
      <c r="F459" s="18">
        <v>70</v>
      </c>
      <c r="H459" t="s">
        <v>608</v>
      </c>
      <c r="I459" t="s">
        <v>660</v>
      </c>
      <c r="J459" s="21">
        <f>Table1[[#This Row],[interactions]]/Table1[[#This Row],[Attendance]]</f>
        <v>1</v>
      </c>
    </row>
    <row r="460" spans="1:10" x14ac:dyDescent="0.2">
      <c r="A460" s="15" t="s">
        <v>11</v>
      </c>
      <c r="B460" t="s">
        <v>300</v>
      </c>
      <c r="C460" s="1">
        <v>45211</v>
      </c>
      <c r="D460" t="s">
        <v>217</v>
      </c>
      <c r="E460">
        <v>70</v>
      </c>
      <c r="F460" s="18">
        <v>70</v>
      </c>
      <c r="G460" t="s">
        <v>299</v>
      </c>
      <c r="H460" t="s">
        <v>229</v>
      </c>
      <c r="I460" t="s">
        <v>631</v>
      </c>
      <c r="J460" s="21">
        <f>Table1[[#This Row],[interactions]]/Table1[[#This Row],[Attendance]]</f>
        <v>1</v>
      </c>
    </row>
    <row r="461" spans="1:10" x14ac:dyDescent="0.2">
      <c r="A461" s="15" t="s">
        <v>11</v>
      </c>
      <c r="B461" t="s">
        <v>1638</v>
      </c>
      <c r="C461" s="1">
        <v>45702</v>
      </c>
      <c r="D461" t="s">
        <v>237</v>
      </c>
      <c r="E461">
        <v>75</v>
      </c>
      <c r="F461" s="18">
        <v>75</v>
      </c>
      <c r="H461" t="s">
        <v>1409</v>
      </c>
      <c r="I461" t="s">
        <v>1639</v>
      </c>
      <c r="J461" s="21">
        <f>Table1[[#This Row],[interactions]]/Table1[[#This Row],[Attendance]]</f>
        <v>1</v>
      </c>
    </row>
    <row r="462" spans="1:10" x14ac:dyDescent="0.2">
      <c r="A462" s="15" t="s">
        <v>11</v>
      </c>
      <c r="B462" t="s">
        <v>1195</v>
      </c>
      <c r="C462" s="1">
        <v>45414</v>
      </c>
      <c r="D462" t="s">
        <v>217</v>
      </c>
      <c r="E462">
        <v>75</v>
      </c>
      <c r="F462" s="18">
        <v>75</v>
      </c>
      <c r="G462" t="s">
        <v>1194</v>
      </c>
      <c r="H462" t="s">
        <v>612</v>
      </c>
      <c r="J462" s="21">
        <f>Table1[[#This Row],[interactions]]/Table1[[#This Row],[Attendance]]</f>
        <v>1</v>
      </c>
    </row>
    <row r="463" spans="1:10" x14ac:dyDescent="0.2">
      <c r="A463" t="s">
        <v>11</v>
      </c>
      <c r="B463" t="s">
        <v>247</v>
      </c>
      <c r="C463" s="1">
        <v>45296</v>
      </c>
      <c r="D463" t="s">
        <v>366</v>
      </c>
      <c r="E463">
        <v>75</v>
      </c>
      <c r="F463" s="18">
        <v>75</v>
      </c>
      <c r="G463" t="s">
        <v>1369</v>
      </c>
      <c r="H463" t="s">
        <v>1208</v>
      </c>
      <c r="J463" s="21">
        <f>Table1[[#This Row],[interactions]]/Table1[[#This Row],[Attendance]]</f>
        <v>1</v>
      </c>
    </row>
    <row r="464" spans="1:10" x14ac:dyDescent="0.2">
      <c r="A464" t="s">
        <v>11</v>
      </c>
      <c r="B464" t="s">
        <v>609</v>
      </c>
      <c r="C464" s="1">
        <v>45898</v>
      </c>
      <c r="D464" t="s">
        <v>217</v>
      </c>
      <c r="E464">
        <v>80</v>
      </c>
      <c r="F464" s="18">
        <v>80</v>
      </c>
      <c r="H464" t="s">
        <v>608</v>
      </c>
      <c r="I464" t="s">
        <v>610</v>
      </c>
      <c r="J464" s="21">
        <f>Table1[[#This Row],[interactions]]/Table1[[#This Row],[Attendance]]</f>
        <v>1</v>
      </c>
    </row>
    <row r="465" spans="1:10" x14ac:dyDescent="0.2">
      <c r="A465" t="s">
        <v>11</v>
      </c>
      <c r="B465" t="s">
        <v>1515</v>
      </c>
      <c r="C465" s="1">
        <v>45881</v>
      </c>
      <c r="D465" t="s">
        <v>217</v>
      </c>
      <c r="E465">
        <v>80</v>
      </c>
      <c r="F465" s="18">
        <v>80</v>
      </c>
      <c r="H465" t="s">
        <v>608</v>
      </c>
      <c r="I465" t="s">
        <v>679</v>
      </c>
      <c r="J465" s="21">
        <f>Table1[[#This Row],[interactions]]/Table1[[#This Row],[Attendance]]</f>
        <v>1</v>
      </c>
    </row>
    <row r="466" spans="1:10" x14ac:dyDescent="0.2">
      <c r="A466" s="15" t="s">
        <v>11</v>
      </c>
      <c r="B466" t="s">
        <v>611</v>
      </c>
      <c r="C466" s="1">
        <v>45855</v>
      </c>
      <c r="D466" t="s">
        <v>366</v>
      </c>
      <c r="E466">
        <v>80</v>
      </c>
      <c r="F466" s="18">
        <v>80</v>
      </c>
      <c r="H466" t="s">
        <v>608</v>
      </c>
      <c r="I466" t="s">
        <v>610</v>
      </c>
      <c r="J466" s="21">
        <f>Table1[[#This Row],[interactions]]/Table1[[#This Row],[Attendance]]</f>
        <v>1</v>
      </c>
    </row>
    <row r="467" spans="1:10" x14ac:dyDescent="0.2">
      <c r="A467" s="15" t="s">
        <v>11</v>
      </c>
      <c r="B467" t="s">
        <v>698</v>
      </c>
      <c r="C467" s="1">
        <v>45790</v>
      </c>
      <c r="D467" t="s">
        <v>366</v>
      </c>
      <c r="E467">
        <v>80</v>
      </c>
      <c r="F467" s="18">
        <v>80</v>
      </c>
      <c r="H467" t="s">
        <v>608</v>
      </c>
      <c r="I467" t="s">
        <v>679</v>
      </c>
      <c r="J467" s="21">
        <f>Table1[[#This Row],[interactions]]/Table1[[#This Row],[Attendance]]</f>
        <v>1</v>
      </c>
    </row>
    <row r="468" spans="1:10" x14ac:dyDescent="0.2">
      <c r="A468" t="s">
        <v>11</v>
      </c>
      <c r="B468" t="s">
        <v>698</v>
      </c>
      <c r="C468" s="1">
        <v>45608</v>
      </c>
      <c r="D468" t="s">
        <v>366</v>
      </c>
      <c r="E468">
        <v>80</v>
      </c>
      <c r="F468" s="18">
        <v>80</v>
      </c>
      <c r="H468" t="s">
        <v>608</v>
      </c>
      <c r="I468" t="s">
        <v>679</v>
      </c>
      <c r="J468" s="21">
        <f>Table1[[#This Row],[interactions]]/Table1[[#This Row],[Attendance]]</f>
        <v>1</v>
      </c>
    </row>
    <row r="469" spans="1:10" x14ac:dyDescent="0.2">
      <c r="A469" t="s">
        <v>11</v>
      </c>
      <c r="B469" t="s">
        <v>763</v>
      </c>
      <c r="C469" s="1">
        <v>45574</v>
      </c>
      <c r="D469" t="s">
        <v>217</v>
      </c>
      <c r="E469">
        <v>80</v>
      </c>
      <c r="F469" s="18">
        <v>80</v>
      </c>
      <c r="G469" t="s">
        <v>762</v>
      </c>
      <c r="H469" t="s">
        <v>608</v>
      </c>
      <c r="I469" t="s">
        <v>660</v>
      </c>
      <c r="J469" s="21">
        <f>Table1[[#This Row],[interactions]]/Table1[[#This Row],[Attendance]]</f>
        <v>1</v>
      </c>
    </row>
    <row r="470" spans="1:10" x14ac:dyDescent="0.2">
      <c r="A470" t="s">
        <v>11</v>
      </c>
      <c r="B470" t="s">
        <v>833</v>
      </c>
      <c r="C470" s="1">
        <v>45553</v>
      </c>
      <c r="D470" t="s">
        <v>217</v>
      </c>
      <c r="E470">
        <v>80</v>
      </c>
      <c r="F470" s="18">
        <v>80</v>
      </c>
      <c r="G470" t="s">
        <v>832</v>
      </c>
      <c r="H470" t="s">
        <v>797</v>
      </c>
      <c r="I470" t="s">
        <v>590</v>
      </c>
      <c r="J470" s="21">
        <f>Table1[[#This Row],[interactions]]/Table1[[#This Row],[Attendance]]</f>
        <v>1</v>
      </c>
    </row>
    <row r="471" spans="1:10" x14ac:dyDescent="0.2">
      <c r="A471" t="s">
        <v>11</v>
      </c>
      <c r="B471" t="s">
        <v>296</v>
      </c>
      <c r="C471" s="1">
        <v>45552</v>
      </c>
      <c r="D471" t="s">
        <v>217</v>
      </c>
      <c r="E471">
        <v>80</v>
      </c>
      <c r="F471" s="18">
        <v>80</v>
      </c>
      <c r="G471" t="s">
        <v>845</v>
      </c>
      <c r="H471" t="s">
        <v>608</v>
      </c>
      <c r="I471" t="s">
        <v>627</v>
      </c>
      <c r="J471" s="21">
        <f>Table1[[#This Row],[interactions]]/Table1[[#This Row],[Attendance]]</f>
        <v>1</v>
      </c>
    </row>
    <row r="472" spans="1:10" x14ac:dyDescent="0.2">
      <c r="A472" t="s">
        <v>11</v>
      </c>
      <c r="B472" t="s">
        <v>47</v>
      </c>
      <c r="C472" s="1">
        <v>45545</v>
      </c>
      <c r="D472" t="s">
        <v>217</v>
      </c>
      <c r="E472">
        <v>80</v>
      </c>
      <c r="F472" s="18">
        <v>80</v>
      </c>
      <c r="G472" t="s">
        <v>875</v>
      </c>
      <c r="H472" t="s">
        <v>608</v>
      </c>
      <c r="I472" t="s">
        <v>679</v>
      </c>
      <c r="J472" s="21">
        <f>Table1[[#This Row],[interactions]]/Table1[[#This Row],[Attendance]]</f>
        <v>1</v>
      </c>
    </row>
    <row r="473" spans="1:10" x14ac:dyDescent="0.2">
      <c r="A473" t="s">
        <v>11</v>
      </c>
      <c r="B473" t="s">
        <v>1053</v>
      </c>
      <c r="C473" s="1">
        <v>45482</v>
      </c>
      <c r="D473" t="s">
        <v>581</v>
      </c>
      <c r="E473">
        <v>80</v>
      </c>
      <c r="F473" s="18">
        <v>80</v>
      </c>
      <c r="G473" t="s">
        <v>1052</v>
      </c>
      <c r="H473" t="s">
        <v>1051</v>
      </c>
      <c r="I473" t="s">
        <v>679</v>
      </c>
      <c r="J473" s="21">
        <f>Table1[[#This Row],[interactions]]/Table1[[#This Row],[Attendance]]</f>
        <v>1</v>
      </c>
    </row>
    <row r="474" spans="1:10" x14ac:dyDescent="0.2">
      <c r="A474" t="s">
        <v>11</v>
      </c>
      <c r="B474" t="s">
        <v>698</v>
      </c>
      <c r="C474" s="1">
        <v>45944</v>
      </c>
      <c r="D474" t="s">
        <v>366</v>
      </c>
      <c r="E474">
        <v>90</v>
      </c>
      <c r="F474" s="18">
        <v>90</v>
      </c>
      <c r="H474" t="s">
        <v>608</v>
      </c>
      <c r="I474" t="s">
        <v>679</v>
      </c>
      <c r="J474" s="21">
        <f>Table1[[#This Row],[interactions]]/Table1[[#This Row],[Attendance]]</f>
        <v>1</v>
      </c>
    </row>
    <row r="475" spans="1:10" x14ac:dyDescent="0.2">
      <c r="A475" s="15" t="s">
        <v>11</v>
      </c>
      <c r="B475" t="s">
        <v>698</v>
      </c>
      <c r="C475" s="1">
        <v>45909</v>
      </c>
      <c r="D475" t="s">
        <v>217</v>
      </c>
      <c r="E475">
        <v>90</v>
      </c>
      <c r="F475" s="18">
        <v>90</v>
      </c>
      <c r="H475" t="s">
        <v>608</v>
      </c>
      <c r="I475" t="s">
        <v>679</v>
      </c>
      <c r="J475" s="21">
        <f>Table1[[#This Row],[interactions]]/Table1[[#This Row],[Attendance]]</f>
        <v>1</v>
      </c>
    </row>
    <row r="476" spans="1:10" x14ac:dyDescent="0.2">
      <c r="A476" s="15" t="s">
        <v>11</v>
      </c>
      <c r="B476" t="s">
        <v>1590</v>
      </c>
      <c r="C476" s="1">
        <v>45727</v>
      </c>
      <c r="D476" t="s">
        <v>217</v>
      </c>
      <c r="E476">
        <v>90</v>
      </c>
      <c r="F476" s="18">
        <v>90</v>
      </c>
      <c r="H476" t="s">
        <v>608</v>
      </c>
      <c r="I476" t="s">
        <v>679</v>
      </c>
      <c r="J476" s="21">
        <f>Table1[[#This Row],[interactions]]/Table1[[#This Row],[Attendance]]</f>
        <v>1</v>
      </c>
    </row>
    <row r="477" spans="1:10" x14ac:dyDescent="0.2">
      <c r="A477" t="s">
        <v>11</v>
      </c>
      <c r="B477" t="s">
        <v>1490</v>
      </c>
      <c r="C477" s="1">
        <v>45903</v>
      </c>
      <c r="D477" t="s">
        <v>217</v>
      </c>
      <c r="E477">
        <v>100</v>
      </c>
      <c r="F477" s="18">
        <v>100</v>
      </c>
      <c r="H477" t="s">
        <v>685</v>
      </c>
      <c r="I477" t="s">
        <v>1423</v>
      </c>
      <c r="J477" s="21">
        <f>Table1[[#This Row],[interactions]]/Table1[[#This Row],[Attendance]]</f>
        <v>1</v>
      </c>
    </row>
    <row r="478" spans="1:10" x14ac:dyDescent="0.2">
      <c r="A478" t="s">
        <v>11</v>
      </c>
      <c r="B478" t="s">
        <v>1590</v>
      </c>
      <c r="C478" s="1">
        <v>45755</v>
      </c>
      <c r="D478" t="s">
        <v>217</v>
      </c>
      <c r="E478">
        <v>100</v>
      </c>
      <c r="F478" s="18">
        <v>100</v>
      </c>
      <c r="G478" t="s">
        <v>1589</v>
      </c>
      <c r="H478" t="s">
        <v>608</v>
      </c>
      <c r="I478" t="s">
        <v>679</v>
      </c>
      <c r="J478" s="21">
        <f>Table1[[#This Row],[interactions]]/Table1[[#This Row],[Attendance]]</f>
        <v>1</v>
      </c>
    </row>
    <row r="479" spans="1:10" x14ac:dyDescent="0.2">
      <c r="A479" t="s">
        <v>11</v>
      </c>
      <c r="B479" t="s">
        <v>924</v>
      </c>
      <c r="C479" s="1">
        <v>45525</v>
      </c>
      <c r="D479" t="s">
        <v>217</v>
      </c>
      <c r="E479">
        <v>100</v>
      </c>
      <c r="F479" s="18">
        <v>100</v>
      </c>
      <c r="G479" t="s">
        <v>923</v>
      </c>
      <c r="H479" t="s">
        <v>797</v>
      </c>
      <c r="I479" t="s">
        <v>590</v>
      </c>
      <c r="J479" s="21">
        <f>Table1[[#This Row],[interactions]]/Table1[[#This Row],[Attendance]]</f>
        <v>1</v>
      </c>
    </row>
    <row r="480" spans="1:10" x14ac:dyDescent="0.2">
      <c r="A480" t="s">
        <v>11</v>
      </c>
      <c r="B480" t="s">
        <v>512</v>
      </c>
      <c r="C480" s="1">
        <v>45001</v>
      </c>
      <c r="D480" t="s">
        <v>366</v>
      </c>
      <c r="E480">
        <v>100</v>
      </c>
      <c r="F480" s="18">
        <v>100</v>
      </c>
      <c r="G480" t="s">
        <v>511</v>
      </c>
      <c r="H480" t="s">
        <v>490</v>
      </c>
      <c r="I480" t="s">
        <v>631</v>
      </c>
      <c r="J480" s="21">
        <f>Table1[[#This Row],[interactions]]/Table1[[#This Row],[Attendance]]</f>
        <v>1</v>
      </c>
    </row>
    <row r="481" spans="1:10" x14ac:dyDescent="0.2">
      <c r="A481" t="s">
        <v>11</v>
      </c>
      <c r="B481" t="s">
        <v>611</v>
      </c>
      <c r="C481" s="1">
        <v>45645</v>
      </c>
      <c r="D481" t="s">
        <v>217</v>
      </c>
      <c r="E481">
        <v>120</v>
      </c>
      <c r="F481" s="18">
        <v>120</v>
      </c>
      <c r="H481" t="s">
        <v>608</v>
      </c>
      <c r="I481" t="s">
        <v>610</v>
      </c>
      <c r="J481" s="21">
        <f>Table1[[#This Row],[interactions]]/Table1[[#This Row],[Attendance]]</f>
        <v>1</v>
      </c>
    </row>
    <row r="482" spans="1:10" x14ac:dyDescent="0.2">
      <c r="A482" t="s">
        <v>11</v>
      </c>
      <c r="B482" t="s">
        <v>712</v>
      </c>
      <c r="C482" s="1">
        <v>45597</v>
      </c>
      <c r="D482" t="s">
        <v>366</v>
      </c>
      <c r="E482">
        <v>120</v>
      </c>
      <c r="F482" s="18">
        <v>120</v>
      </c>
      <c r="H482" t="s">
        <v>711</v>
      </c>
      <c r="I482" t="s">
        <v>666</v>
      </c>
      <c r="J482" s="21">
        <f>Table1[[#This Row],[interactions]]/Table1[[#This Row],[Attendance]]</f>
        <v>1</v>
      </c>
    </row>
    <row r="483" spans="1:10" x14ac:dyDescent="0.2">
      <c r="A483" t="s">
        <v>11</v>
      </c>
      <c r="B483" t="s">
        <v>1399</v>
      </c>
      <c r="C483" s="1">
        <v>45933</v>
      </c>
      <c r="D483" t="s">
        <v>217</v>
      </c>
      <c r="E483">
        <v>125</v>
      </c>
      <c r="F483" s="18">
        <v>125</v>
      </c>
      <c r="H483" t="s">
        <v>1392</v>
      </c>
      <c r="I483" t="s">
        <v>779</v>
      </c>
      <c r="J483" s="21">
        <f>Table1[[#This Row],[interactions]]/Table1[[#This Row],[Attendance]]</f>
        <v>1</v>
      </c>
    </row>
    <row r="484" spans="1:10" x14ac:dyDescent="0.2">
      <c r="A484" t="s">
        <v>11</v>
      </c>
      <c r="B484" t="s">
        <v>698</v>
      </c>
      <c r="C484" s="1">
        <v>45671</v>
      </c>
      <c r="D484" t="s">
        <v>217</v>
      </c>
      <c r="E484">
        <v>140</v>
      </c>
      <c r="F484" s="18">
        <v>140</v>
      </c>
      <c r="G484" t="s">
        <v>1663</v>
      </c>
      <c r="H484" t="s">
        <v>1662</v>
      </c>
      <c r="I484" t="s">
        <v>679</v>
      </c>
      <c r="J484" s="21">
        <f>Table1[[#This Row],[interactions]]/Table1[[#This Row],[Attendance]]</f>
        <v>1</v>
      </c>
    </row>
    <row r="485" spans="1:10" x14ac:dyDescent="0.2">
      <c r="A485" t="s">
        <v>11</v>
      </c>
      <c r="B485" t="s">
        <v>1469</v>
      </c>
      <c r="C485" s="1">
        <v>45911</v>
      </c>
      <c r="D485" t="s">
        <v>217</v>
      </c>
      <c r="E485">
        <v>150</v>
      </c>
      <c r="F485" s="18">
        <v>150</v>
      </c>
      <c r="H485" t="s">
        <v>1409</v>
      </c>
      <c r="I485" t="s">
        <v>645</v>
      </c>
      <c r="J485" s="21">
        <f>Table1[[#This Row],[interactions]]/Table1[[#This Row],[Attendance]]</f>
        <v>1</v>
      </c>
    </row>
    <row r="486" spans="1:10" x14ac:dyDescent="0.2">
      <c r="A486" t="s">
        <v>11</v>
      </c>
      <c r="B486" t="s">
        <v>633</v>
      </c>
      <c r="C486" s="1">
        <v>45638</v>
      </c>
      <c r="D486" t="s">
        <v>217</v>
      </c>
      <c r="E486">
        <v>150</v>
      </c>
      <c r="F486" s="18">
        <v>150</v>
      </c>
      <c r="G486" t="s">
        <v>632</v>
      </c>
      <c r="H486" t="s">
        <v>608</v>
      </c>
      <c r="I486" t="s">
        <v>600</v>
      </c>
      <c r="J486" s="21">
        <f>Table1[[#This Row],[interactions]]/Table1[[#This Row],[Attendance]]</f>
        <v>1</v>
      </c>
    </row>
    <row r="487" spans="1:10" x14ac:dyDescent="0.2">
      <c r="A487" t="s">
        <v>11</v>
      </c>
      <c r="B487" t="s">
        <v>300</v>
      </c>
      <c r="C487" s="1">
        <v>45400</v>
      </c>
      <c r="D487" t="s">
        <v>217</v>
      </c>
      <c r="E487">
        <v>150</v>
      </c>
      <c r="F487" s="18">
        <v>150</v>
      </c>
      <c r="G487" t="s">
        <v>1221</v>
      </c>
      <c r="H487" t="s">
        <v>1208</v>
      </c>
      <c r="J487" s="21">
        <f>Table1[[#This Row],[interactions]]/Table1[[#This Row],[Attendance]]</f>
        <v>1</v>
      </c>
    </row>
    <row r="488" spans="1:10" x14ac:dyDescent="0.2">
      <c r="A488" t="s">
        <v>11</v>
      </c>
      <c r="B488" t="s">
        <v>1363</v>
      </c>
      <c r="C488" s="1">
        <v>45303</v>
      </c>
      <c r="D488" t="s">
        <v>115</v>
      </c>
      <c r="E488">
        <v>150</v>
      </c>
      <c r="F488" s="18">
        <v>150</v>
      </c>
      <c r="G488" t="s">
        <v>1362</v>
      </c>
      <c r="H488" t="s">
        <v>1361</v>
      </c>
      <c r="J488" s="21">
        <f>Table1[[#This Row],[interactions]]/Table1[[#This Row],[Attendance]]</f>
        <v>1</v>
      </c>
    </row>
    <row r="489" spans="1:10" x14ac:dyDescent="0.2">
      <c r="A489" t="s">
        <v>11</v>
      </c>
      <c r="B489" t="s">
        <v>541</v>
      </c>
      <c r="C489" s="1">
        <v>44973</v>
      </c>
      <c r="D489" t="s">
        <v>217</v>
      </c>
      <c r="E489">
        <v>150</v>
      </c>
      <c r="F489" s="18">
        <v>150</v>
      </c>
      <c r="G489" t="s">
        <v>540</v>
      </c>
      <c r="H489" t="s">
        <v>215</v>
      </c>
      <c r="I489" t="s">
        <v>631</v>
      </c>
      <c r="J489" s="21">
        <f>Table1[[#This Row],[interactions]]/Table1[[#This Row],[Attendance]]</f>
        <v>1</v>
      </c>
    </row>
    <row r="490" spans="1:10" x14ac:dyDescent="0.2">
      <c r="A490" t="s">
        <v>11</v>
      </c>
      <c r="B490" t="s">
        <v>1344</v>
      </c>
      <c r="C490" s="1">
        <v>45329</v>
      </c>
      <c r="D490" t="s">
        <v>375</v>
      </c>
      <c r="E490">
        <v>175</v>
      </c>
      <c r="F490" s="18">
        <v>175</v>
      </c>
      <c r="G490" t="s">
        <v>1343</v>
      </c>
      <c r="H490" t="s">
        <v>1208</v>
      </c>
      <c r="J490" s="21">
        <f>Table1[[#This Row],[interactions]]/Table1[[#This Row],[Attendance]]</f>
        <v>1</v>
      </c>
    </row>
    <row r="491" spans="1:10" x14ac:dyDescent="0.2">
      <c r="A491" t="s">
        <v>11</v>
      </c>
      <c r="B491" t="s">
        <v>1202</v>
      </c>
      <c r="C491" s="1">
        <v>45413</v>
      </c>
      <c r="D491" t="s">
        <v>217</v>
      </c>
      <c r="E491">
        <v>200</v>
      </c>
      <c r="F491" s="18">
        <v>200</v>
      </c>
      <c r="G491" t="s">
        <v>1201</v>
      </c>
      <c r="H491" t="s">
        <v>612</v>
      </c>
      <c r="J491" s="21">
        <f>Table1[[#This Row],[interactions]]/Table1[[#This Row],[Attendance]]</f>
        <v>1</v>
      </c>
    </row>
    <row r="492" spans="1:10" x14ac:dyDescent="0.2">
      <c r="A492" t="s">
        <v>11</v>
      </c>
      <c r="B492" t="s">
        <v>1202</v>
      </c>
      <c r="C492" s="1">
        <v>45385</v>
      </c>
      <c r="D492" t="s">
        <v>217</v>
      </c>
      <c r="E492">
        <v>200</v>
      </c>
      <c r="F492" s="18">
        <v>200</v>
      </c>
      <c r="G492" t="s">
        <v>1270</v>
      </c>
      <c r="H492" t="s">
        <v>1208</v>
      </c>
      <c r="J492" s="21">
        <f>Table1[[#This Row],[interactions]]/Table1[[#This Row],[Attendance]]</f>
        <v>1</v>
      </c>
    </row>
    <row r="493" spans="1:10" x14ac:dyDescent="0.2">
      <c r="A493" t="s">
        <v>11</v>
      </c>
      <c r="B493" t="s">
        <v>300</v>
      </c>
      <c r="C493" s="1">
        <v>45372</v>
      </c>
      <c r="D493" t="s">
        <v>217</v>
      </c>
      <c r="E493">
        <v>200</v>
      </c>
      <c r="F493" s="18">
        <v>200</v>
      </c>
      <c r="G493" t="s">
        <v>1287</v>
      </c>
      <c r="H493" t="s">
        <v>1286</v>
      </c>
      <c r="J493" s="21">
        <f>Table1[[#This Row],[interactions]]/Table1[[#This Row],[Attendance]]</f>
        <v>1</v>
      </c>
    </row>
    <row r="494" spans="1:10" x14ac:dyDescent="0.2">
      <c r="A494" t="s">
        <v>11</v>
      </c>
      <c r="B494" t="s">
        <v>906</v>
      </c>
      <c r="C494" s="1">
        <v>45533</v>
      </c>
      <c r="D494" t="s">
        <v>905</v>
      </c>
      <c r="E494">
        <v>300</v>
      </c>
      <c r="F494" s="18">
        <v>300</v>
      </c>
      <c r="G494" t="s">
        <v>904</v>
      </c>
      <c r="I494" t="s">
        <v>593</v>
      </c>
      <c r="J494" s="21">
        <f>Table1[[#This Row],[interactions]]/Table1[[#This Row],[Attendance]]</f>
        <v>1</v>
      </c>
    </row>
    <row r="495" spans="1:10" x14ac:dyDescent="0.2">
      <c r="A495" t="s">
        <v>11</v>
      </c>
      <c r="B495" t="s">
        <v>942</v>
      </c>
      <c r="C495" s="1">
        <v>45519</v>
      </c>
      <c r="D495" t="s">
        <v>905</v>
      </c>
      <c r="E495">
        <v>300</v>
      </c>
      <c r="F495" s="18">
        <v>300</v>
      </c>
      <c r="H495" t="s">
        <v>941</v>
      </c>
      <c r="I495" t="s">
        <v>614</v>
      </c>
      <c r="J495" s="21">
        <f>Table1[[#This Row],[interactions]]/Table1[[#This Row],[Attendance]]</f>
        <v>1</v>
      </c>
    </row>
    <row r="496" spans="1:10" x14ac:dyDescent="0.2">
      <c r="A496" t="s">
        <v>11</v>
      </c>
      <c r="B496" t="s">
        <v>1507</v>
      </c>
      <c r="C496" s="1">
        <v>45077</v>
      </c>
      <c r="D496" t="s">
        <v>1712</v>
      </c>
      <c r="E496">
        <v>300</v>
      </c>
      <c r="F496" s="18">
        <v>300</v>
      </c>
      <c r="I496" t="s">
        <v>631</v>
      </c>
      <c r="J496" s="21">
        <f>Table1[[#This Row],[interactions]]/Table1[[#This Row],[Attendance]]</f>
        <v>1</v>
      </c>
    </row>
    <row r="497" spans="1:10" x14ac:dyDescent="0.2">
      <c r="A497" t="s">
        <v>11</v>
      </c>
      <c r="B497" t="s">
        <v>1440</v>
      </c>
      <c r="C497" s="1">
        <v>45930</v>
      </c>
      <c r="D497" t="s">
        <v>115</v>
      </c>
      <c r="E497">
        <v>308</v>
      </c>
      <c r="F497" s="18">
        <v>308</v>
      </c>
      <c r="H497" t="s">
        <v>1439</v>
      </c>
      <c r="I497" t="s">
        <v>1410</v>
      </c>
      <c r="J497" s="21">
        <f>Table1[[#This Row],[interactions]]/Table1[[#This Row],[Attendance]]</f>
        <v>1</v>
      </c>
    </row>
    <row r="498" spans="1:10" x14ac:dyDescent="0.2">
      <c r="A498" t="s">
        <v>11</v>
      </c>
      <c r="B498" t="s">
        <v>1775</v>
      </c>
      <c r="C498" s="1">
        <v>45490</v>
      </c>
      <c r="D498" t="s">
        <v>1774</v>
      </c>
      <c r="E498">
        <v>313</v>
      </c>
      <c r="F498" s="18">
        <v>313</v>
      </c>
      <c r="I498" t="s">
        <v>631</v>
      </c>
      <c r="J498" s="21">
        <f>Table1[[#This Row],[interactions]]/Table1[[#This Row],[Attendance]]</f>
        <v>1</v>
      </c>
    </row>
    <row r="499" spans="1:10" x14ac:dyDescent="0.2">
      <c r="A499" t="s">
        <v>11</v>
      </c>
      <c r="B499" t="s">
        <v>1877</v>
      </c>
      <c r="C499" s="1">
        <v>45777</v>
      </c>
      <c r="D499" t="s">
        <v>1856</v>
      </c>
      <c r="E499">
        <v>400</v>
      </c>
      <c r="F499" s="18">
        <v>400</v>
      </c>
      <c r="G499" t="s">
        <v>1876</v>
      </c>
      <c r="H499" t="s">
        <v>1722</v>
      </c>
      <c r="I499" t="s">
        <v>631</v>
      </c>
      <c r="J499" s="21">
        <f>Table1[[#This Row],[interactions]]/Table1[[#This Row],[Attendance]]</f>
        <v>1</v>
      </c>
    </row>
    <row r="500" spans="1:10" x14ac:dyDescent="0.2">
      <c r="A500" t="s">
        <v>11</v>
      </c>
      <c r="B500" t="s">
        <v>1152</v>
      </c>
      <c r="C500" s="1">
        <v>45435</v>
      </c>
      <c r="D500" t="s">
        <v>115</v>
      </c>
      <c r="E500">
        <v>400</v>
      </c>
      <c r="F500" s="18">
        <v>400</v>
      </c>
      <c r="G500" t="s">
        <v>1151</v>
      </c>
      <c r="H500" t="s">
        <v>1150</v>
      </c>
      <c r="J500" s="21">
        <f>Table1[[#This Row],[interactions]]/Table1[[#This Row],[Attendance]]</f>
        <v>1</v>
      </c>
    </row>
    <row r="501" spans="1:10" x14ac:dyDescent="0.2">
      <c r="A501" t="s">
        <v>11</v>
      </c>
      <c r="B501" t="s">
        <v>857</v>
      </c>
      <c r="C501" s="1">
        <v>45549</v>
      </c>
      <c r="D501" t="s">
        <v>366</v>
      </c>
      <c r="E501">
        <v>450</v>
      </c>
      <c r="F501" s="18">
        <v>450</v>
      </c>
      <c r="G501" t="s">
        <v>856</v>
      </c>
      <c r="H501" t="s">
        <v>612</v>
      </c>
      <c r="I501" t="s">
        <v>858</v>
      </c>
      <c r="J501" s="21">
        <f>Table1[[#This Row],[interactions]]/Table1[[#This Row],[Attendance]]</f>
        <v>1</v>
      </c>
    </row>
    <row r="502" spans="1:10" x14ac:dyDescent="0.2">
      <c r="A502" t="s">
        <v>11</v>
      </c>
      <c r="B502" t="s">
        <v>1432</v>
      </c>
      <c r="C502" s="1">
        <v>45933</v>
      </c>
      <c r="D502" t="s">
        <v>115</v>
      </c>
      <c r="E502">
        <v>479</v>
      </c>
      <c r="F502" s="18">
        <v>479</v>
      </c>
      <c r="H502" t="s">
        <v>1431</v>
      </c>
      <c r="I502" t="s">
        <v>1433</v>
      </c>
      <c r="J502" s="21">
        <f>Table1[[#This Row],[interactions]]/Table1[[#This Row],[Attendance]]</f>
        <v>1</v>
      </c>
    </row>
    <row r="503" spans="1:10" x14ac:dyDescent="0.2">
      <c r="A503" t="s">
        <v>11</v>
      </c>
      <c r="B503" t="s">
        <v>849</v>
      </c>
      <c r="C503" s="1">
        <v>45934</v>
      </c>
      <c r="D503" t="s">
        <v>115</v>
      </c>
      <c r="E503">
        <v>827</v>
      </c>
      <c r="F503" s="18">
        <v>827</v>
      </c>
      <c r="H503" t="s">
        <v>1429</v>
      </c>
      <c r="I503" t="s">
        <v>610</v>
      </c>
      <c r="J503" s="21">
        <f>Table1[[#This Row],[interactions]]/Table1[[#This Row],[Attendance]]</f>
        <v>1</v>
      </c>
    </row>
    <row r="504" spans="1:10" x14ac:dyDescent="0.2">
      <c r="A504" t="s">
        <v>11</v>
      </c>
      <c r="B504" t="s">
        <v>717</v>
      </c>
      <c r="C504" s="1">
        <v>45591</v>
      </c>
      <c r="D504" t="s">
        <v>115</v>
      </c>
      <c r="E504">
        <v>2150</v>
      </c>
      <c r="F504" s="18">
        <v>2150</v>
      </c>
      <c r="G504" t="s">
        <v>716</v>
      </c>
      <c r="H504" t="s">
        <v>608</v>
      </c>
      <c r="I504" t="s">
        <v>679</v>
      </c>
      <c r="J504" s="21">
        <f>Table1[[#This Row],[interactions]]/Table1[[#This Row],[Attendance]]</f>
        <v>1</v>
      </c>
    </row>
    <row r="505" spans="1:10" x14ac:dyDescent="0.2">
      <c r="A505" t="s">
        <v>782</v>
      </c>
      <c r="B505" t="s">
        <v>656</v>
      </c>
      <c r="C505" s="1">
        <v>45630</v>
      </c>
      <c r="D505" t="s">
        <v>655</v>
      </c>
      <c r="E505">
        <v>4</v>
      </c>
      <c r="F505" s="18">
        <v>4</v>
      </c>
      <c r="G505" t="s">
        <v>654</v>
      </c>
      <c r="H505" t="s">
        <v>215</v>
      </c>
      <c r="I505" t="s">
        <v>657</v>
      </c>
      <c r="J505" s="21">
        <f>Table1[[#This Row],[interactions]]/Table1[[#This Row],[Attendance]]</f>
        <v>1</v>
      </c>
    </row>
    <row r="506" spans="1:10" x14ac:dyDescent="0.2">
      <c r="A506" t="s">
        <v>782</v>
      </c>
      <c r="B506" t="s">
        <v>818</v>
      </c>
      <c r="C506" s="1">
        <v>45559</v>
      </c>
      <c r="D506" t="s">
        <v>217</v>
      </c>
      <c r="E506">
        <v>5</v>
      </c>
      <c r="F506" s="18">
        <v>5</v>
      </c>
      <c r="G506" t="s">
        <v>817</v>
      </c>
      <c r="H506" t="s">
        <v>612</v>
      </c>
      <c r="I506" t="s">
        <v>636</v>
      </c>
      <c r="J506" s="21">
        <f>Table1[[#This Row],[interactions]]/Table1[[#This Row],[Attendance]]</f>
        <v>1</v>
      </c>
    </row>
    <row r="507" spans="1:10" x14ac:dyDescent="0.2">
      <c r="A507" t="s">
        <v>782</v>
      </c>
      <c r="B507" t="s">
        <v>1081</v>
      </c>
      <c r="C507" s="1">
        <v>45462</v>
      </c>
      <c r="D507" t="s">
        <v>581</v>
      </c>
      <c r="E507">
        <v>6</v>
      </c>
      <c r="F507" s="18">
        <v>6</v>
      </c>
      <c r="G507" t="s">
        <v>1080</v>
      </c>
      <c r="H507" t="s">
        <v>797</v>
      </c>
      <c r="J507" s="21">
        <f>Table1[[#This Row],[interactions]]/Table1[[#This Row],[Attendance]]</f>
        <v>1</v>
      </c>
    </row>
    <row r="508" spans="1:10" x14ac:dyDescent="0.2">
      <c r="A508" t="s">
        <v>782</v>
      </c>
      <c r="B508" t="s">
        <v>694</v>
      </c>
      <c r="C508" s="1">
        <v>45610</v>
      </c>
      <c r="D508" t="s">
        <v>237</v>
      </c>
      <c r="E508">
        <v>7</v>
      </c>
      <c r="F508" s="18">
        <v>7</v>
      </c>
      <c r="G508" t="s">
        <v>693</v>
      </c>
      <c r="H508" t="s">
        <v>215</v>
      </c>
      <c r="I508" t="s">
        <v>651</v>
      </c>
      <c r="J508" s="21">
        <f>Table1[[#This Row],[interactions]]/Table1[[#This Row],[Attendance]]</f>
        <v>1</v>
      </c>
    </row>
    <row r="509" spans="1:10" x14ac:dyDescent="0.2">
      <c r="A509" t="s">
        <v>782</v>
      </c>
      <c r="B509" t="s">
        <v>1063</v>
      </c>
      <c r="C509" s="1">
        <v>45419</v>
      </c>
      <c r="D509" t="s">
        <v>366</v>
      </c>
      <c r="E509">
        <v>7</v>
      </c>
      <c r="F509" s="18">
        <v>7</v>
      </c>
      <c r="G509" t="s">
        <v>1186</v>
      </c>
      <c r="H509" t="s">
        <v>621</v>
      </c>
      <c r="J509" s="21">
        <f>Table1[[#This Row],[interactions]]/Table1[[#This Row],[Attendance]]</f>
        <v>1</v>
      </c>
    </row>
    <row r="510" spans="1:10" x14ac:dyDescent="0.2">
      <c r="A510" t="s">
        <v>782</v>
      </c>
      <c r="B510" t="s">
        <v>1258</v>
      </c>
      <c r="C510" s="1">
        <v>45386</v>
      </c>
      <c r="D510" t="s">
        <v>366</v>
      </c>
      <c r="E510">
        <v>7</v>
      </c>
      <c r="F510" s="18">
        <v>7</v>
      </c>
      <c r="G510" t="s">
        <v>1257</v>
      </c>
      <c r="H510" t="s">
        <v>621</v>
      </c>
      <c r="J510" s="21">
        <f>Table1[[#This Row],[interactions]]/Table1[[#This Row],[Attendance]]</f>
        <v>1</v>
      </c>
    </row>
    <row r="511" spans="1:10" x14ac:dyDescent="0.2">
      <c r="A511" t="s">
        <v>782</v>
      </c>
      <c r="B511" t="s">
        <v>298</v>
      </c>
      <c r="C511" s="1">
        <v>45216</v>
      </c>
      <c r="D511" t="s">
        <v>237</v>
      </c>
      <c r="E511">
        <v>7</v>
      </c>
      <c r="F511" s="18">
        <v>7</v>
      </c>
      <c r="G511" t="s">
        <v>297</v>
      </c>
      <c r="H511" t="s">
        <v>215</v>
      </c>
      <c r="I511" t="s">
        <v>631</v>
      </c>
      <c r="J511" s="21">
        <f>Table1[[#This Row],[interactions]]/Table1[[#This Row],[Attendance]]</f>
        <v>1</v>
      </c>
    </row>
    <row r="512" spans="1:10" x14ac:dyDescent="0.2">
      <c r="A512" t="s">
        <v>782</v>
      </c>
      <c r="B512" t="s">
        <v>430</v>
      </c>
      <c r="C512" s="1">
        <v>45112</v>
      </c>
      <c r="D512" t="s">
        <v>237</v>
      </c>
      <c r="E512">
        <v>7</v>
      </c>
      <c r="F512" s="18">
        <v>7</v>
      </c>
      <c r="G512" t="s">
        <v>429</v>
      </c>
      <c r="H512" t="s">
        <v>215</v>
      </c>
      <c r="I512" t="s">
        <v>631</v>
      </c>
      <c r="J512" s="21">
        <f>Table1[[#This Row],[interactions]]/Table1[[#This Row],[Attendance]]</f>
        <v>1</v>
      </c>
    </row>
    <row r="513" spans="1:10" x14ac:dyDescent="0.2">
      <c r="A513" t="s">
        <v>782</v>
      </c>
      <c r="B513" t="s">
        <v>1451</v>
      </c>
      <c r="C513" s="1">
        <v>45923</v>
      </c>
      <c r="D513" t="s">
        <v>366</v>
      </c>
      <c r="E513">
        <v>8</v>
      </c>
      <c r="F513" s="18">
        <v>8</v>
      </c>
      <c r="H513" t="s">
        <v>621</v>
      </c>
      <c r="I513" t="s">
        <v>663</v>
      </c>
      <c r="J513" s="21">
        <f>Table1[[#This Row],[interactions]]/Table1[[#This Row],[Attendance]]</f>
        <v>1</v>
      </c>
    </row>
    <row r="514" spans="1:10" x14ac:dyDescent="0.2">
      <c r="A514" t="s">
        <v>782</v>
      </c>
      <c r="B514" t="s">
        <v>732</v>
      </c>
      <c r="C514" s="1">
        <v>45882</v>
      </c>
      <c r="D514" t="s">
        <v>366</v>
      </c>
      <c r="E514">
        <v>8</v>
      </c>
      <c r="F514" s="18">
        <v>8</v>
      </c>
      <c r="H514" t="s">
        <v>1514</v>
      </c>
      <c r="I514" t="s">
        <v>733</v>
      </c>
      <c r="J514" s="21">
        <f>Table1[[#This Row],[interactions]]/Table1[[#This Row],[Attendance]]</f>
        <v>1</v>
      </c>
    </row>
    <row r="515" spans="1:10" x14ac:dyDescent="0.2">
      <c r="A515" t="s">
        <v>782</v>
      </c>
      <c r="B515" t="s">
        <v>1451</v>
      </c>
      <c r="C515" s="1">
        <v>45720</v>
      </c>
      <c r="D515" t="s">
        <v>366</v>
      </c>
      <c r="E515">
        <v>8</v>
      </c>
      <c r="F515" s="18">
        <v>8</v>
      </c>
      <c r="H515" t="s">
        <v>621</v>
      </c>
      <c r="I515" t="s">
        <v>663</v>
      </c>
      <c r="J515" s="21">
        <f>Table1[[#This Row],[interactions]]/Table1[[#This Row],[Attendance]]</f>
        <v>1</v>
      </c>
    </row>
    <row r="516" spans="1:10" x14ac:dyDescent="0.2">
      <c r="A516" t="s">
        <v>782</v>
      </c>
      <c r="B516" t="s">
        <v>1063</v>
      </c>
      <c r="C516" s="1">
        <v>45461</v>
      </c>
      <c r="D516" t="s">
        <v>366</v>
      </c>
      <c r="E516">
        <v>8</v>
      </c>
      <c r="F516" s="18">
        <v>8</v>
      </c>
      <c r="G516" t="s">
        <v>1086</v>
      </c>
      <c r="H516" t="s">
        <v>621</v>
      </c>
      <c r="J516" s="21">
        <f>Table1[[#This Row],[interactions]]/Table1[[#This Row],[Attendance]]</f>
        <v>1</v>
      </c>
    </row>
    <row r="517" spans="1:10" x14ac:dyDescent="0.2">
      <c r="A517" t="s">
        <v>782</v>
      </c>
      <c r="B517" t="s">
        <v>988</v>
      </c>
      <c r="C517" s="1">
        <v>45504</v>
      </c>
      <c r="D517" t="s">
        <v>581</v>
      </c>
      <c r="E517">
        <v>9</v>
      </c>
      <c r="F517" s="18">
        <v>9</v>
      </c>
      <c r="G517" t="s">
        <v>987</v>
      </c>
      <c r="H517" t="s">
        <v>612</v>
      </c>
      <c r="I517" t="s">
        <v>989</v>
      </c>
      <c r="J517" s="21">
        <f>Table1[[#This Row],[interactions]]/Table1[[#This Row],[Attendance]]</f>
        <v>1</v>
      </c>
    </row>
    <row r="518" spans="1:10" x14ac:dyDescent="0.2">
      <c r="A518" t="s">
        <v>782</v>
      </c>
      <c r="B518" t="s">
        <v>1451</v>
      </c>
      <c r="C518" s="1">
        <v>45916</v>
      </c>
      <c r="D518" t="s">
        <v>366</v>
      </c>
      <c r="E518">
        <v>10</v>
      </c>
      <c r="F518" s="18">
        <v>10</v>
      </c>
      <c r="H518" t="s">
        <v>621</v>
      </c>
      <c r="I518" t="s">
        <v>663</v>
      </c>
      <c r="J518" s="21">
        <f>Table1[[#This Row],[interactions]]/Table1[[#This Row],[Attendance]]</f>
        <v>1</v>
      </c>
    </row>
    <row r="519" spans="1:10" x14ac:dyDescent="0.2">
      <c r="A519" t="s">
        <v>782</v>
      </c>
      <c r="B519" t="s">
        <v>1516</v>
      </c>
      <c r="C519" s="1">
        <v>45881</v>
      </c>
      <c r="D519" t="s">
        <v>366</v>
      </c>
      <c r="E519">
        <v>10</v>
      </c>
      <c r="F519" s="18">
        <v>10</v>
      </c>
      <c r="H519" t="s">
        <v>621</v>
      </c>
      <c r="I519" t="s">
        <v>625</v>
      </c>
      <c r="J519" s="21">
        <f>Table1[[#This Row],[interactions]]/Table1[[#This Row],[Attendance]]</f>
        <v>1</v>
      </c>
    </row>
    <row r="520" spans="1:10" x14ac:dyDescent="0.2">
      <c r="A520" s="15" t="s">
        <v>782</v>
      </c>
      <c r="B520" t="s">
        <v>751</v>
      </c>
      <c r="C520" s="1">
        <v>45874</v>
      </c>
      <c r="D520" t="s">
        <v>366</v>
      </c>
      <c r="E520">
        <v>10</v>
      </c>
      <c r="F520" s="18">
        <v>10</v>
      </c>
      <c r="H520" t="s">
        <v>1514</v>
      </c>
      <c r="I520" t="s">
        <v>642</v>
      </c>
      <c r="J520" s="21">
        <f>Table1[[#This Row],[interactions]]/Table1[[#This Row],[Attendance]]</f>
        <v>1</v>
      </c>
    </row>
    <row r="521" spans="1:10" x14ac:dyDescent="0.2">
      <c r="A521" t="s">
        <v>782</v>
      </c>
      <c r="B521" t="s">
        <v>1580</v>
      </c>
      <c r="C521" s="1">
        <v>45771</v>
      </c>
      <c r="D521" t="s">
        <v>237</v>
      </c>
      <c r="E521">
        <v>10</v>
      </c>
      <c r="F521" s="18">
        <v>10</v>
      </c>
      <c r="H521" t="s">
        <v>1579</v>
      </c>
      <c r="I521" t="s">
        <v>617</v>
      </c>
      <c r="J521" s="21">
        <f>Table1[[#This Row],[interactions]]/Table1[[#This Row],[Attendance]]</f>
        <v>1</v>
      </c>
    </row>
    <row r="522" spans="1:10" x14ac:dyDescent="0.2">
      <c r="A522" t="s">
        <v>782</v>
      </c>
      <c r="B522" t="s">
        <v>732</v>
      </c>
      <c r="C522" s="1">
        <v>45770</v>
      </c>
      <c r="D522" t="s">
        <v>366</v>
      </c>
      <c r="E522">
        <v>10</v>
      </c>
      <c r="F522" s="18">
        <v>10</v>
      </c>
      <c r="H522" t="s">
        <v>621</v>
      </c>
      <c r="I522" t="s">
        <v>733</v>
      </c>
      <c r="J522" s="21">
        <f>Table1[[#This Row],[interactions]]/Table1[[#This Row],[Attendance]]</f>
        <v>1</v>
      </c>
    </row>
    <row r="523" spans="1:10" x14ac:dyDescent="0.2">
      <c r="A523" t="s">
        <v>782</v>
      </c>
      <c r="B523" t="s">
        <v>839</v>
      </c>
      <c r="C523" s="1">
        <v>45552</v>
      </c>
      <c r="D523" t="s">
        <v>366</v>
      </c>
      <c r="E523">
        <v>10</v>
      </c>
      <c r="F523" s="18">
        <v>10</v>
      </c>
      <c r="G523" t="s">
        <v>838</v>
      </c>
      <c r="H523" t="s">
        <v>621</v>
      </c>
      <c r="I523" t="s">
        <v>663</v>
      </c>
      <c r="J523" s="21">
        <f>Table1[[#This Row],[interactions]]/Table1[[#This Row],[Attendance]]</f>
        <v>1</v>
      </c>
    </row>
    <row r="524" spans="1:10" x14ac:dyDescent="0.2">
      <c r="A524" t="s">
        <v>782</v>
      </c>
      <c r="B524" t="s">
        <v>1142</v>
      </c>
      <c r="C524" s="1">
        <v>45441</v>
      </c>
      <c r="D524" t="s">
        <v>237</v>
      </c>
      <c r="E524">
        <v>10</v>
      </c>
      <c r="F524" s="18">
        <v>10</v>
      </c>
      <c r="G524" t="s">
        <v>1141</v>
      </c>
      <c r="H524" t="s">
        <v>621</v>
      </c>
      <c r="J524" s="21">
        <f>Table1[[#This Row],[interactions]]/Table1[[#This Row],[Attendance]]</f>
        <v>1</v>
      </c>
    </row>
    <row r="525" spans="1:10" x14ac:dyDescent="0.2">
      <c r="A525" t="s">
        <v>782</v>
      </c>
      <c r="B525" t="s">
        <v>1318</v>
      </c>
      <c r="C525" s="1">
        <v>45357</v>
      </c>
      <c r="D525" t="s">
        <v>581</v>
      </c>
      <c r="E525">
        <v>10</v>
      </c>
      <c r="F525" s="18">
        <v>10</v>
      </c>
      <c r="G525" t="s">
        <v>1317</v>
      </c>
      <c r="H525" t="s">
        <v>215</v>
      </c>
      <c r="J525" s="21">
        <f>Table1[[#This Row],[interactions]]/Table1[[#This Row],[Attendance]]</f>
        <v>1</v>
      </c>
    </row>
    <row r="526" spans="1:10" x14ac:dyDescent="0.2">
      <c r="A526" t="s">
        <v>782</v>
      </c>
      <c r="B526" t="s">
        <v>732</v>
      </c>
      <c r="C526" s="1">
        <v>45973</v>
      </c>
      <c r="D526" t="s">
        <v>1397</v>
      </c>
      <c r="E526">
        <v>11</v>
      </c>
      <c r="F526" s="18">
        <v>11</v>
      </c>
      <c r="H526" t="s">
        <v>621</v>
      </c>
      <c r="I526" t="s">
        <v>733</v>
      </c>
      <c r="J526" s="21">
        <f>Table1[[#This Row],[interactions]]/Table1[[#This Row],[Attendance]]</f>
        <v>1</v>
      </c>
    </row>
    <row r="527" spans="1:10" x14ac:dyDescent="0.2">
      <c r="A527" t="s">
        <v>782</v>
      </c>
      <c r="B527" t="s">
        <v>1534</v>
      </c>
      <c r="C527" s="1">
        <v>45848</v>
      </c>
      <c r="D527" t="s">
        <v>366</v>
      </c>
      <c r="E527">
        <v>11</v>
      </c>
      <c r="F527" s="18">
        <v>11</v>
      </c>
      <c r="H527" t="s">
        <v>608</v>
      </c>
      <c r="I527" t="s">
        <v>627</v>
      </c>
      <c r="J527" s="21">
        <f>Table1[[#This Row],[interactions]]/Table1[[#This Row],[Attendance]]</f>
        <v>1</v>
      </c>
    </row>
    <row r="528" spans="1:10" x14ac:dyDescent="0.2">
      <c r="A528" t="s">
        <v>782</v>
      </c>
      <c r="B528" t="s">
        <v>1300</v>
      </c>
      <c r="C528" s="1">
        <v>45365</v>
      </c>
      <c r="D528" t="s">
        <v>581</v>
      </c>
      <c r="E528">
        <v>11</v>
      </c>
      <c r="F528" s="18">
        <v>11</v>
      </c>
      <c r="G528" t="s">
        <v>1299</v>
      </c>
      <c r="H528" t="s">
        <v>1208</v>
      </c>
      <c r="J528" s="21">
        <f>Table1[[#This Row],[interactions]]/Table1[[#This Row],[Attendance]]</f>
        <v>1</v>
      </c>
    </row>
    <row r="529" spans="1:10" x14ac:dyDescent="0.2">
      <c r="A529" t="s">
        <v>782</v>
      </c>
      <c r="B529" t="s">
        <v>1481</v>
      </c>
      <c r="C529" s="1">
        <v>45905</v>
      </c>
      <c r="D529" t="s">
        <v>1386</v>
      </c>
      <c r="E529">
        <v>12</v>
      </c>
      <c r="F529" s="18">
        <v>12</v>
      </c>
      <c r="H529" t="s">
        <v>1409</v>
      </c>
      <c r="I529" t="s">
        <v>645</v>
      </c>
      <c r="J529" s="21">
        <f>Table1[[#This Row],[interactions]]/Table1[[#This Row],[Attendance]]</f>
        <v>1</v>
      </c>
    </row>
    <row r="530" spans="1:10" x14ac:dyDescent="0.2">
      <c r="A530" t="s">
        <v>782</v>
      </c>
      <c r="B530" t="s">
        <v>298</v>
      </c>
      <c r="C530" s="1">
        <v>45860</v>
      </c>
      <c r="D530" t="s">
        <v>366</v>
      </c>
      <c r="E530">
        <v>12</v>
      </c>
      <c r="F530" s="18">
        <v>12</v>
      </c>
      <c r="H530" t="s">
        <v>621</v>
      </c>
      <c r="I530" t="s">
        <v>663</v>
      </c>
      <c r="J530" s="21">
        <f>Table1[[#This Row],[interactions]]/Table1[[#This Row],[Attendance]]</f>
        <v>1</v>
      </c>
    </row>
    <row r="531" spans="1:10" x14ac:dyDescent="0.2">
      <c r="A531" t="s">
        <v>782</v>
      </c>
      <c r="B531" t="s">
        <v>715</v>
      </c>
      <c r="C531" s="1">
        <v>45714</v>
      </c>
      <c r="D531" t="s">
        <v>366</v>
      </c>
      <c r="E531">
        <v>12</v>
      </c>
      <c r="F531" s="18">
        <v>12</v>
      </c>
      <c r="H531" t="s">
        <v>621</v>
      </c>
      <c r="I531" t="s">
        <v>648</v>
      </c>
      <c r="J531" s="21">
        <f>Table1[[#This Row],[interactions]]/Table1[[#This Row],[Attendance]]</f>
        <v>1</v>
      </c>
    </row>
    <row r="532" spans="1:10" x14ac:dyDescent="0.2">
      <c r="A532" t="s">
        <v>782</v>
      </c>
      <c r="B532" t="s">
        <v>298</v>
      </c>
      <c r="C532" s="1">
        <v>45685</v>
      </c>
      <c r="D532" t="s">
        <v>366</v>
      </c>
      <c r="E532">
        <v>12</v>
      </c>
      <c r="F532" s="18">
        <v>12</v>
      </c>
      <c r="H532" t="s">
        <v>621</v>
      </c>
      <c r="I532" t="s">
        <v>663</v>
      </c>
      <c r="J532" s="21">
        <f>Table1[[#This Row],[interactions]]/Table1[[#This Row],[Attendance]]</f>
        <v>1</v>
      </c>
    </row>
    <row r="533" spans="1:10" x14ac:dyDescent="0.2">
      <c r="A533" t="s">
        <v>782</v>
      </c>
      <c r="B533" t="s">
        <v>897</v>
      </c>
      <c r="C533" s="1">
        <v>45539</v>
      </c>
      <c r="D533" t="s">
        <v>237</v>
      </c>
      <c r="E533">
        <v>12</v>
      </c>
      <c r="F533" s="18">
        <v>12</v>
      </c>
      <c r="G533" t="s">
        <v>896</v>
      </c>
      <c r="H533" t="s">
        <v>608</v>
      </c>
      <c r="I533" t="s">
        <v>660</v>
      </c>
      <c r="J533" s="21">
        <f>Table1[[#This Row],[interactions]]/Table1[[#This Row],[Attendance]]</f>
        <v>1</v>
      </c>
    </row>
    <row r="534" spans="1:10" x14ac:dyDescent="0.2">
      <c r="A534" t="s">
        <v>782</v>
      </c>
      <c r="B534" t="s">
        <v>1085</v>
      </c>
      <c r="C534" s="1">
        <v>45461</v>
      </c>
      <c r="D534" t="s">
        <v>237</v>
      </c>
      <c r="E534">
        <v>12</v>
      </c>
      <c r="F534" s="18">
        <v>12</v>
      </c>
      <c r="G534" t="s">
        <v>1084</v>
      </c>
      <c r="H534" t="s">
        <v>621</v>
      </c>
      <c r="J534" s="21">
        <f>Table1[[#This Row],[interactions]]/Table1[[#This Row],[Attendance]]</f>
        <v>1</v>
      </c>
    </row>
    <row r="535" spans="1:10" x14ac:dyDescent="0.2">
      <c r="A535" t="s">
        <v>782</v>
      </c>
      <c r="B535" t="s">
        <v>1146</v>
      </c>
      <c r="C535" s="1">
        <v>45440</v>
      </c>
      <c r="D535" t="s">
        <v>581</v>
      </c>
      <c r="E535">
        <v>12</v>
      </c>
      <c r="F535" s="18">
        <v>12</v>
      </c>
      <c r="G535" t="s">
        <v>1145</v>
      </c>
      <c r="H535" t="s">
        <v>490</v>
      </c>
      <c r="J535" s="21">
        <f>Table1[[#This Row],[interactions]]/Table1[[#This Row],[Attendance]]</f>
        <v>1</v>
      </c>
    </row>
    <row r="536" spans="1:10" x14ac:dyDescent="0.2">
      <c r="A536" t="s">
        <v>782</v>
      </c>
      <c r="B536" t="s">
        <v>1269</v>
      </c>
      <c r="C536" s="1">
        <v>45385</v>
      </c>
      <c r="D536" t="s">
        <v>581</v>
      </c>
      <c r="E536">
        <v>12</v>
      </c>
      <c r="F536" s="18">
        <v>12</v>
      </c>
      <c r="G536" t="s">
        <v>1268</v>
      </c>
      <c r="H536" t="s">
        <v>1208</v>
      </c>
      <c r="J536" s="21">
        <f>Table1[[#This Row],[interactions]]/Table1[[#This Row],[Attendance]]</f>
        <v>1</v>
      </c>
    </row>
    <row r="537" spans="1:10" x14ac:dyDescent="0.2">
      <c r="A537" t="s">
        <v>782</v>
      </c>
      <c r="B537" t="s">
        <v>1321</v>
      </c>
      <c r="C537" s="1">
        <v>45351</v>
      </c>
      <c r="D537" t="s">
        <v>237</v>
      </c>
      <c r="E537">
        <v>12</v>
      </c>
      <c r="F537" s="18">
        <v>12</v>
      </c>
      <c r="G537" t="s">
        <v>1320</v>
      </c>
      <c r="H537" t="s">
        <v>215</v>
      </c>
      <c r="J537" s="21">
        <f>Table1[[#This Row],[interactions]]/Table1[[#This Row],[Attendance]]</f>
        <v>1</v>
      </c>
    </row>
    <row r="538" spans="1:10" x14ac:dyDescent="0.2">
      <c r="A538" t="s">
        <v>782</v>
      </c>
      <c r="B538" t="s">
        <v>1501</v>
      </c>
      <c r="C538" s="1">
        <v>45895</v>
      </c>
      <c r="D538" t="s">
        <v>1386</v>
      </c>
      <c r="E538">
        <v>13</v>
      </c>
      <c r="F538" s="18">
        <v>13</v>
      </c>
      <c r="H538" t="s">
        <v>1409</v>
      </c>
      <c r="I538" t="s">
        <v>704</v>
      </c>
      <c r="J538" s="21">
        <f>Table1[[#This Row],[interactions]]/Table1[[#This Row],[Attendance]]</f>
        <v>1</v>
      </c>
    </row>
    <row r="539" spans="1:10" x14ac:dyDescent="0.2">
      <c r="A539" t="s">
        <v>782</v>
      </c>
      <c r="B539" t="s">
        <v>985</v>
      </c>
      <c r="C539" s="1">
        <v>45505</v>
      </c>
      <c r="D539" t="s">
        <v>237</v>
      </c>
      <c r="E539">
        <v>13</v>
      </c>
      <c r="F539" s="18">
        <v>13</v>
      </c>
      <c r="G539" t="s">
        <v>984</v>
      </c>
      <c r="H539" t="s">
        <v>612</v>
      </c>
      <c r="I539" t="s">
        <v>986</v>
      </c>
      <c r="J539" s="21">
        <f>Table1[[#This Row],[interactions]]/Table1[[#This Row],[Attendance]]</f>
        <v>1</v>
      </c>
    </row>
    <row r="540" spans="1:10" x14ac:dyDescent="0.2">
      <c r="A540" t="s">
        <v>782</v>
      </c>
      <c r="B540" t="s">
        <v>1123</v>
      </c>
      <c r="C540" s="1">
        <v>45450</v>
      </c>
      <c r="D540" t="s">
        <v>581</v>
      </c>
      <c r="E540">
        <v>14</v>
      </c>
      <c r="F540" s="18">
        <v>14</v>
      </c>
      <c r="G540" t="s">
        <v>1122</v>
      </c>
      <c r="H540" t="s">
        <v>612</v>
      </c>
      <c r="J540" s="21">
        <f>Table1[[#This Row],[interactions]]/Table1[[#This Row],[Attendance]]</f>
        <v>1</v>
      </c>
    </row>
    <row r="541" spans="1:10" x14ac:dyDescent="0.2">
      <c r="A541" t="s">
        <v>782</v>
      </c>
      <c r="B541" t="s">
        <v>1210</v>
      </c>
      <c r="C541" s="1">
        <v>45412</v>
      </c>
      <c r="D541" t="s">
        <v>581</v>
      </c>
      <c r="E541">
        <v>14</v>
      </c>
      <c r="F541" s="18">
        <v>14</v>
      </c>
      <c r="G541" t="s">
        <v>1209</v>
      </c>
      <c r="H541" t="s">
        <v>1208</v>
      </c>
      <c r="J541" s="21">
        <f>Table1[[#This Row],[interactions]]/Table1[[#This Row],[Attendance]]</f>
        <v>1</v>
      </c>
    </row>
    <row r="542" spans="1:10" x14ac:dyDescent="0.2">
      <c r="A542" t="s">
        <v>782</v>
      </c>
      <c r="B542" t="s">
        <v>1311</v>
      </c>
      <c r="C542" s="1">
        <v>45363</v>
      </c>
      <c r="D542" t="s">
        <v>581</v>
      </c>
      <c r="E542">
        <v>14</v>
      </c>
      <c r="F542" s="18">
        <v>14</v>
      </c>
      <c r="G542" t="s">
        <v>1310</v>
      </c>
      <c r="H542" t="s">
        <v>1208</v>
      </c>
      <c r="J542" s="21">
        <f>Table1[[#This Row],[interactions]]/Table1[[#This Row],[Attendance]]</f>
        <v>1</v>
      </c>
    </row>
    <row r="543" spans="1:10" x14ac:dyDescent="0.2">
      <c r="A543" t="s">
        <v>782</v>
      </c>
      <c r="B543" t="s">
        <v>732</v>
      </c>
      <c r="C543" s="1">
        <v>45945</v>
      </c>
      <c r="D543" t="s">
        <v>366</v>
      </c>
      <c r="E543">
        <v>15</v>
      </c>
      <c r="F543" s="18">
        <v>15</v>
      </c>
      <c r="H543" t="s">
        <v>621</v>
      </c>
      <c r="I543" t="s">
        <v>733</v>
      </c>
      <c r="J543" s="21">
        <f>Table1[[#This Row],[interactions]]/Table1[[#This Row],[Attendance]]</f>
        <v>1</v>
      </c>
    </row>
    <row r="544" spans="1:10" x14ac:dyDescent="0.2">
      <c r="A544" t="s">
        <v>782</v>
      </c>
      <c r="B544" t="s">
        <v>1497</v>
      </c>
      <c r="C544" s="1">
        <v>45896</v>
      </c>
      <c r="D544" t="s">
        <v>1386</v>
      </c>
      <c r="E544">
        <v>15</v>
      </c>
      <c r="F544" s="18">
        <v>15</v>
      </c>
      <c r="H544" t="s">
        <v>1496</v>
      </c>
      <c r="I544" t="s">
        <v>645</v>
      </c>
      <c r="J544" s="21">
        <f>Table1[[#This Row],[interactions]]/Table1[[#This Row],[Attendance]]</f>
        <v>1</v>
      </c>
    </row>
    <row r="545" spans="1:10" x14ac:dyDescent="0.2">
      <c r="A545" t="s">
        <v>782</v>
      </c>
      <c r="B545" t="s">
        <v>298</v>
      </c>
      <c r="C545" s="1">
        <v>45895</v>
      </c>
      <c r="D545" t="s">
        <v>366</v>
      </c>
      <c r="E545">
        <v>15</v>
      </c>
      <c r="F545" s="18">
        <v>15</v>
      </c>
      <c r="H545" t="s">
        <v>621</v>
      </c>
      <c r="I545" t="s">
        <v>663</v>
      </c>
      <c r="J545" s="21">
        <f>Table1[[#This Row],[interactions]]/Table1[[#This Row],[Attendance]]</f>
        <v>1</v>
      </c>
    </row>
    <row r="546" spans="1:10" x14ac:dyDescent="0.2">
      <c r="A546" t="s">
        <v>782</v>
      </c>
      <c r="B546" t="s">
        <v>298</v>
      </c>
      <c r="C546" s="1">
        <v>45867</v>
      </c>
      <c r="D546" t="s">
        <v>366</v>
      </c>
      <c r="E546">
        <v>15</v>
      </c>
      <c r="F546" s="18">
        <v>15</v>
      </c>
      <c r="H546" t="s">
        <v>621</v>
      </c>
      <c r="I546" t="s">
        <v>663</v>
      </c>
      <c r="J546" s="21">
        <f>Table1[[#This Row],[interactions]]/Table1[[#This Row],[Attendance]]</f>
        <v>1</v>
      </c>
    </row>
    <row r="547" spans="1:10" x14ac:dyDescent="0.2">
      <c r="A547" t="s">
        <v>782</v>
      </c>
      <c r="B547" t="s">
        <v>1451</v>
      </c>
      <c r="C547" s="1">
        <v>45839</v>
      </c>
      <c r="D547" t="s">
        <v>366</v>
      </c>
      <c r="E547">
        <v>15</v>
      </c>
      <c r="F547" s="18">
        <v>15</v>
      </c>
      <c r="H547" t="s">
        <v>621</v>
      </c>
      <c r="I547" t="s">
        <v>663</v>
      </c>
      <c r="J547" s="21">
        <f>Table1[[#This Row],[interactions]]/Table1[[#This Row],[Attendance]]</f>
        <v>1</v>
      </c>
    </row>
    <row r="548" spans="1:10" x14ac:dyDescent="0.2">
      <c r="A548" t="s">
        <v>782</v>
      </c>
      <c r="B548" t="s">
        <v>1584</v>
      </c>
      <c r="C548" s="1">
        <v>45763</v>
      </c>
      <c r="D548" t="s">
        <v>288</v>
      </c>
      <c r="E548">
        <v>15</v>
      </c>
      <c r="F548" s="18">
        <v>15</v>
      </c>
      <c r="H548" t="s">
        <v>621</v>
      </c>
      <c r="I548" t="s">
        <v>1585</v>
      </c>
      <c r="J548" s="21">
        <f>Table1[[#This Row],[interactions]]/Table1[[#This Row],[Attendance]]</f>
        <v>1</v>
      </c>
    </row>
    <row r="549" spans="1:10" x14ac:dyDescent="0.2">
      <c r="A549" t="s">
        <v>782</v>
      </c>
      <c r="B549" t="s">
        <v>298</v>
      </c>
      <c r="C549" s="1">
        <v>45678</v>
      </c>
      <c r="D549" t="s">
        <v>366</v>
      </c>
      <c r="E549">
        <v>15</v>
      </c>
      <c r="F549" s="18">
        <v>15</v>
      </c>
      <c r="G549" t="s">
        <v>1654</v>
      </c>
      <c r="H549" t="s">
        <v>621</v>
      </c>
      <c r="I549" t="s">
        <v>663</v>
      </c>
      <c r="J549" s="21">
        <f>Table1[[#This Row],[interactions]]/Table1[[#This Row],[Attendance]]</f>
        <v>1</v>
      </c>
    </row>
    <row r="550" spans="1:10" x14ac:dyDescent="0.2">
      <c r="A550" t="s">
        <v>782</v>
      </c>
      <c r="B550" t="s">
        <v>662</v>
      </c>
      <c r="C550" s="1">
        <v>45629</v>
      </c>
      <c r="D550" t="s">
        <v>366</v>
      </c>
      <c r="E550">
        <v>15</v>
      </c>
      <c r="F550" s="18">
        <v>15</v>
      </c>
      <c r="G550" t="s">
        <v>661</v>
      </c>
      <c r="H550" t="s">
        <v>621</v>
      </c>
      <c r="I550" t="s">
        <v>663</v>
      </c>
      <c r="J550" s="21">
        <f>Table1[[#This Row],[interactions]]/Table1[[#This Row],[Attendance]]</f>
        <v>1</v>
      </c>
    </row>
    <row r="551" spans="1:10" x14ac:dyDescent="0.2">
      <c r="A551" t="s">
        <v>782</v>
      </c>
      <c r="B551" t="s">
        <v>715</v>
      </c>
      <c r="C551" s="1">
        <v>45595</v>
      </c>
      <c r="D551" t="s">
        <v>237</v>
      </c>
      <c r="E551">
        <v>15</v>
      </c>
      <c r="F551" s="18">
        <v>15</v>
      </c>
      <c r="G551" t="s">
        <v>714</v>
      </c>
      <c r="H551" t="s">
        <v>621</v>
      </c>
      <c r="I551" t="s">
        <v>648</v>
      </c>
      <c r="J551" s="21">
        <f>Table1[[#This Row],[interactions]]/Table1[[#This Row],[Attendance]]</f>
        <v>1</v>
      </c>
    </row>
    <row r="552" spans="1:10" x14ac:dyDescent="0.2">
      <c r="A552" t="s">
        <v>782</v>
      </c>
      <c r="B552" t="s">
        <v>771</v>
      </c>
      <c r="C552" s="1">
        <v>45572</v>
      </c>
      <c r="D552" t="s">
        <v>237</v>
      </c>
      <c r="E552">
        <v>15</v>
      </c>
      <c r="F552" s="18">
        <v>15</v>
      </c>
      <c r="G552" t="s">
        <v>770</v>
      </c>
      <c r="H552" t="s">
        <v>608</v>
      </c>
      <c r="I552" t="s">
        <v>697</v>
      </c>
      <c r="J552" s="21">
        <f>Table1[[#This Row],[interactions]]/Table1[[#This Row],[Attendance]]</f>
        <v>1</v>
      </c>
    </row>
    <row r="553" spans="1:10" x14ac:dyDescent="0.2">
      <c r="A553" t="s">
        <v>782</v>
      </c>
      <c r="B553" t="s">
        <v>968</v>
      </c>
      <c r="C553" s="1">
        <v>45510</v>
      </c>
      <c r="D553" t="s">
        <v>288</v>
      </c>
      <c r="E553">
        <v>15</v>
      </c>
      <c r="F553" s="18">
        <v>15</v>
      </c>
      <c r="G553" t="s">
        <v>967</v>
      </c>
      <c r="H553" t="s">
        <v>215</v>
      </c>
      <c r="I553" t="s">
        <v>593</v>
      </c>
      <c r="J553" s="21">
        <f>Table1[[#This Row],[interactions]]/Table1[[#This Row],[Attendance]]</f>
        <v>1</v>
      </c>
    </row>
    <row r="554" spans="1:10" x14ac:dyDescent="0.2">
      <c r="A554" t="s">
        <v>782</v>
      </c>
      <c r="B554" t="s">
        <v>1117</v>
      </c>
      <c r="C554" s="1">
        <v>45454</v>
      </c>
      <c r="D554" t="s">
        <v>581</v>
      </c>
      <c r="E554">
        <v>15</v>
      </c>
      <c r="F554" s="18">
        <v>15</v>
      </c>
      <c r="G554" t="s">
        <v>1116</v>
      </c>
      <c r="H554" t="s">
        <v>1093</v>
      </c>
      <c r="J554" s="21">
        <f>Table1[[#This Row],[interactions]]/Table1[[#This Row],[Attendance]]</f>
        <v>1</v>
      </c>
    </row>
    <row r="555" spans="1:10" x14ac:dyDescent="0.2">
      <c r="A555" t="s">
        <v>782</v>
      </c>
      <c r="B555" t="s">
        <v>1157</v>
      </c>
      <c r="C555" s="1">
        <v>45434</v>
      </c>
      <c r="D555" t="s">
        <v>581</v>
      </c>
      <c r="E555">
        <v>15</v>
      </c>
      <c r="F555" s="18">
        <v>15</v>
      </c>
      <c r="H555" t="s">
        <v>612</v>
      </c>
      <c r="J555" s="21">
        <f>Table1[[#This Row],[interactions]]/Table1[[#This Row],[Attendance]]</f>
        <v>1</v>
      </c>
    </row>
    <row r="556" spans="1:10" x14ac:dyDescent="0.2">
      <c r="A556" t="s">
        <v>782</v>
      </c>
      <c r="B556" t="s">
        <v>1245</v>
      </c>
      <c r="C556" s="1">
        <v>45393</v>
      </c>
      <c r="D556" t="s">
        <v>581</v>
      </c>
      <c r="E556">
        <v>15</v>
      </c>
      <c r="F556" s="18">
        <v>15</v>
      </c>
      <c r="G556" t="s">
        <v>1244</v>
      </c>
      <c r="H556" t="s">
        <v>1208</v>
      </c>
      <c r="J556" s="21">
        <f>Table1[[#This Row],[interactions]]/Table1[[#This Row],[Attendance]]</f>
        <v>1</v>
      </c>
    </row>
    <row r="557" spans="1:10" x14ac:dyDescent="0.2">
      <c r="A557" t="s">
        <v>782</v>
      </c>
      <c r="B557" t="s">
        <v>1266</v>
      </c>
      <c r="C557" s="1">
        <v>45385</v>
      </c>
      <c r="D557" t="s">
        <v>366</v>
      </c>
      <c r="E557">
        <v>15</v>
      </c>
      <c r="F557" s="18">
        <v>15</v>
      </c>
      <c r="G557" t="s">
        <v>1265</v>
      </c>
      <c r="H557" t="s">
        <v>621</v>
      </c>
      <c r="J557" s="21">
        <f>Table1[[#This Row],[interactions]]/Table1[[#This Row],[Attendance]]</f>
        <v>1</v>
      </c>
    </row>
    <row r="558" spans="1:10" x14ac:dyDescent="0.2">
      <c r="A558" t="s">
        <v>782</v>
      </c>
      <c r="B558" t="s">
        <v>771</v>
      </c>
      <c r="C558" s="1">
        <v>45852</v>
      </c>
      <c r="D558" t="s">
        <v>1386</v>
      </c>
      <c r="E558">
        <v>16</v>
      </c>
      <c r="F558" s="18">
        <v>16</v>
      </c>
      <c r="H558" t="s">
        <v>608</v>
      </c>
      <c r="I558" t="s">
        <v>697</v>
      </c>
      <c r="J558" s="21">
        <f>Table1[[#This Row],[interactions]]/Table1[[#This Row],[Attendance]]</f>
        <v>1</v>
      </c>
    </row>
    <row r="559" spans="1:10" x14ac:dyDescent="0.2">
      <c r="A559" t="s">
        <v>782</v>
      </c>
      <c r="B559" t="s">
        <v>997</v>
      </c>
      <c r="C559" s="1">
        <v>45503</v>
      </c>
      <c r="D559" t="s">
        <v>237</v>
      </c>
      <c r="E559">
        <v>16</v>
      </c>
      <c r="F559" s="18">
        <v>16</v>
      </c>
      <c r="G559" t="s">
        <v>996</v>
      </c>
      <c r="H559" t="s">
        <v>621</v>
      </c>
      <c r="I559" t="s">
        <v>663</v>
      </c>
      <c r="J559" s="21">
        <f>Table1[[#This Row],[interactions]]/Table1[[#This Row],[Attendance]]</f>
        <v>1</v>
      </c>
    </row>
    <row r="560" spans="1:10" x14ac:dyDescent="0.2">
      <c r="A560" t="s">
        <v>782</v>
      </c>
      <c r="B560" t="s">
        <v>1115</v>
      </c>
      <c r="C560" s="1">
        <v>45454</v>
      </c>
      <c r="D560" t="s">
        <v>237</v>
      </c>
      <c r="E560">
        <v>16</v>
      </c>
      <c r="F560" s="18">
        <v>16</v>
      </c>
      <c r="G560" t="s">
        <v>1114</v>
      </c>
      <c r="H560" t="s">
        <v>621</v>
      </c>
      <c r="J560" s="21">
        <f>Table1[[#This Row],[interactions]]/Table1[[#This Row],[Attendance]]</f>
        <v>1</v>
      </c>
    </row>
    <row r="561" spans="1:10" x14ac:dyDescent="0.2">
      <c r="A561" t="s">
        <v>782</v>
      </c>
      <c r="B561" t="s">
        <v>582</v>
      </c>
      <c r="C561" s="1">
        <v>45433</v>
      </c>
      <c r="D561" t="s">
        <v>581</v>
      </c>
      <c r="E561">
        <v>16</v>
      </c>
      <c r="F561" s="18">
        <v>16</v>
      </c>
      <c r="G561" t="s">
        <v>580</v>
      </c>
      <c r="H561" t="s">
        <v>579</v>
      </c>
      <c r="J561" s="21">
        <f>Table1[[#This Row],[interactions]]/Table1[[#This Row],[Attendance]]</f>
        <v>1</v>
      </c>
    </row>
    <row r="562" spans="1:10" x14ac:dyDescent="0.2">
      <c r="A562" t="s">
        <v>782</v>
      </c>
      <c r="B562" t="s">
        <v>1283</v>
      </c>
      <c r="C562" s="1">
        <v>45376</v>
      </c>
      <c r="D562" t="s">
        <v>366</v>
      </c>
      <c r="E562">
        <v>16</v>
      </c>
      <c r="F562" s="18">
        <v>16</v>
      </c>
      <c r="G562" t="s">
        <v>1282</v>
      </c>
      <c r="H562" t="s">
        <v>621</v>
      </c>
      <c r="J562" s="21">
        <f>Table1[[#This Row],[interactions]]/Table1[[#This Row],[Attendance]]</f>
        <v>1</v>
      </c>
    </row>
    <row r="563" spans="1:10" x14ac:dyDescent="0.2">
      <c r="A563" t="s">
        <v>782</v>
      </c>
      <c r="B563" t="s">
        <v>1516</v>
      </c>
      <c r="C563" s="1">
        <v>45748</v>
      </c>
      <c r="D563" t="s">
        <v>366</v>
      </c>
      <c r="E563">
        <v>17</v>
      </c>
      <c r="F563" s="18">
        <v>17</v>
      </c>
      <c r="H563" t="s">
        <v>621</v>
      </c>
      <c r="I563" t="s">
        <v>625</v>
      </c>
      <c r="J563" s="21">
        <f>Table1[[#This Row],[interactions]]/Table1[[#This Row],[Attendance]]</f>
        <v>1</v>
      </c>
    </row>
    <row r="564" spans="1:10" x14ac:dyDescent="0.2">
      <c r="A564" t="s">
        <v>782</v>
      </c>
      <c r="B564" t="s">
        <v>1426</v>
      </c>
      <c r="C564" s="1">
        <v>45937</v>
      </c>
      <c r="D564" t="s">
        <v>288</v>
      </c>
      <c r="E564">
        <v>18</v>
      </c>
      <c r="F564" s="18">
        <v>18</v>
      </c>
      <c r="H564" t="s">
        <v>621</v>
      </c>
      <c r="I564" t="s">
        <v>625</v>
      </c>
      <c r="J564" s="21">
        <f>Table1[[#This Row],[interactions]]/Table1[[#This Row],[Attendance]]</f>
        <v>1</v>
      </c>
    </row>
    <row r="565" spans="1:10" x14ac:dyDescent="0.2">
      <c r="A565" t="s">
        <v>782</v>
      </c>
      <c r="B565" t="s">
        <v>1125</v>
      </c>
      <c r="C565" s="1">
        <v>45449</v>
      </c>
      <c r="D565" t="s">
        <v>237</v>
      </c>
      <c r="E565">
        <v>18</v>
      </c>
      <c r="F565" s="18">
        <v>18</v>
      </c>
      <c r="G565" t="s">
        <v>1124</v>
      </c>
      <c r="H565" t="s">
        <v>621</v>
      </c>
      <c r="J565" s="21">
        <f>Table1[[#This Row],[interactions]]/Table1[[#This Row],[Attendance]]</f>
        <v>1</v>
      </c>
    </row>
    <row r="566" spans="1:10" x14ac:dyDescent="0.2">
      <c r="A566" t="s">
        <v>782</v>
      </c>
      <c r="B566" t="s">
        <v>1516</v>
      </c>
      <c r="C566" s="1">
        <v>45853</v>
      </c>
      <c r="D566" t="s">
        <v>366</v>
      </c>
      <c r="E566">
        <v>20</v>
      </c>
      <c r="F566" s="18">
        <v>20</v>
      </c>
      <c r="H566" t="s">
        <v>621</v>
      </c>
      <c r="I566" t="s">
        <v>625</v>
      </c>
      <c r="J566" s="21">
        <f>Table1[[#This Row],[interactions]]/Table1[[#This Row],[Attendance]]</f>
        <v>1</v>
      </c>
    </row>
    <row r="567" spans="1:10" x14ac:dyDescent="0.2">
      <c r="A567" t="s">
        <v>782</v>
      </c>
      <c r="B567" t="s">
        <v>1594</v>
      </c>
      <c r="C567" s="1">
        <v>45742</v>
      </c>
      <c r="D567" t="s">
        <v>237</v>
      </c>
      <c r="E567">
        <v>20</v>
      </c>
      <c r="F567" s="18">
        <v>20</v>
      </c>
      <c r="H567" t="s">
        <v>608</v>
      </c>
      <c r="I567" t="s">
        <v>679</v>
      </c>
      <c r="J567" s="21">
        <f>Table1[[#This Row],[interactions]]/Table1[[#This Row],[Attendance]]</f>
        <v>1</v>
      </c>
    </row>
    <row r="568" spans="1:10" x14ac:dyDescent="0.2">
      <c r="A568" t="s">
        <v>782</v>
      </c>
      <c r="B568" t="s">
        <v>751</v>
      </c>
      <c r="C568" s="1">
        <v>45678</v>
      </c>
      <c r="D568" t="s">
        <v>366</v>
      </c>
      <c r="E568">
        <v>20</v>
      </c>
      <c r="F568" s="18">
        <v>20</v>
      </c>
      <c r="G568" t="s">
        <v>1653</v>
      </c>
      <c r="H568" t="s">
        <v>621</v>
      </c>
      <c r="I568" t="s">
        <v>642</v>
      </c>
      <c r="J568" s="21">
        <f>Table1[[#This Row],[interactions]]/Table1[[#This Row],[Attendance]]</f>
        <v>1</v>
      </c>
    </row>
    <row r="569" spans="1:10" x14ac:dyDescent="0.2">
      <c r="A569" s="15" t="s">
        <v>782</v>
      </c>
      <c r="B569" t="s">
        <v>677</v>
      </c>
      <c r="C569" s="1">
        <v>45616</v>
      </c>
      <c r="D569" t="s">
        <v>237</v>
      </c>
      <c r="E569">
        <v>20</v>
      </c>
      <c r="F569" s="18">
        <v>20</v>
      </c>
      <c r="G569" t="s">
        <v>676</v>
      </c>
      <c r="H569" t="s">
        <v>215</v>
      </c>
      <c r="I569" t="s">
        <v>603</v>
      </c>
      <c r="J569" s="21">
        <f>Table1[[#This Row],[interactions]]/Table1[[#This Row],[Attendance]]</f>
        <v>1</v>
      </c>
    </row>
    <row r="570" spans="1:10" x14ac:dyDescent="0.2">
      <c r="A570" s="15" t="s">
        <v>782</v>
      </c>
      <c r="B570" t="s">
        <v>841</v>
      </c>
      <c r="C570" s="1">
        <v>45552</v>
      </c>
      <c r="D570" t="s">
        <v>237</v>
      </c>
      <c r="E570">
        <v>20</v>
      </c>
      <c r="F570" s="18">
        <v>20</v>
      </c>
      <c r="G570" t="s">
        <v>840</v>
      </c>
      <c r="H570" t="s">
        <v>797</v>
      </c>
      <c r="I570" t="s">
        <v>766</v>
      </c>
      <c r="J570" s="21">
        <f>Table1[[#This Row],[interactions]]/Table1[[#This Row],[Attendance]]</f>
        <v>1</v>
      </c>
    </row>
    <row r="571" spans="1:10" x14ac:dyDescent="0.2">
      <c r="A571" s="15" t="s">
        <v>782</v>
      </c>
      <c r="B571" t="s">
        <v>1049</v>
      </c>
      <c r="C571" s="1">
        <v>45483</v>
      </c>
      <c r="D571" t="s">
        <v>288</v>
      </c>
      <c r="E571">
        <v>20</v>
      </c>
      <c r="F571" s="18">
        <v>20</v>
      </c>
      <c r="H571" t="s">
        <v>215</v>
      </c>
      <c r="I571" t="s">
        <v>603</v>
      </c>
      <c r="J571" s="21">
        <f>Table1[[#This Row],[interactions]]/Table1[[#This Row],[Attendance]]</f>
        <v>1</v>
      </c>
    </row>
    <row r="572" spans="1:10" x14ac:dyDescent="0.2">
      <c r="A572" s="15" t="s">
        <v>782</v>
      </c>
      <c r="B572" t="s">
        <v>1251</v>
      </c>
      <c r="C572" s="1">
        <v>45391</v>
      </c>
      <c r="D572" t="s">
        <v>288</v>
      </c>
      <c r="E572">
        <v>20</v>
      </c>
      <c r="F572" s="18">
        <v>20</v>
      </c>
      <c r="G572" t="s">
        <v>1250</v>
      </c>
      <c r="H572" t="s">
        <v>215</v>
      </c>
      <c r="J572" s="21">
        <f>Table1[[#This Row],[interactions]]/Table1[[#This Row],[Attendance]]</f>
        <v>1</v>
      </c>
    </row>
    <row r="573" spans="1:10" x14ac:dyDescent="0.2">
      <c r="A573" t="s">
        <v>782</v>
      </c>
      <c r="B573" t="s">
        <v>882</v>
      </c>
      <c r="C573" s="1">
        <v>45544</v>
      </c>
      <c r="D573" t="s">
        <v>237</v>
      </c>
      <c r="E573">
        <v>23</v>
      </c>
      <c r="F573" s="18">
        <v>23</v>
      </c>
      <c r="G573" t="s">
        <v>881</v>
      </c>
      <c r="H573" t="s">
        <v>612</v>
      </c>
      <c r="I573" t="s">
        <v>858</v>
      </c>
      <c r="J573" s="21">
        <f>Table1[[#This Row],[interactions]]/Table1[[#This Row],[Attendance]]</f>
        <v>1</v>
      </c>
    </row>
    <row r="574" spans="1:10" x14ac:dyDescent="0.2">
      <c r="A574" t="s">
        <v>782</v>
      </c>
      <c r="B574" t="s">
        <v>613</v>
      </c>
      <c r="C574" s="1">
        <v>45644</v>
      </c>
      <c r="D574" t="s">
        <v>237</v>
      </c>
      <c r="E574">
        <v>25</v>
      </c>
      <c r="F574" s="18">
        <v>25</v>
      </c>
      <c r="H574" t="s">
        <v>612</v>
      </c>
      <c r="I574" t="s">
        <v>614</v>
      </c>
      <c r="J574" s="21">
        <f>Table1[[#This Row],[interactions]]/Table1[[#This Row],[Attendance]]</f>
        <v>1</v>
      </c>
    </row>
    <row r="575" spans="1:10" x14ac:dyDescent="0.2">
      <c r="A575" t="s">
        <v>782</v>
      </c>
      <c r="B575" t="s">
        <v>1435</v>
      </c>
      <c r="C575" s="1">
        <v>45932</v>
      </c>
      <c r="D575" t="s">
        <v>288</v>
      </c>
      <c r="E575">
        <v>26</v>
      </c>
      <c r="F575" s="18">
        <v>26</v>
      </c>
      <c r="H575" t="s">
        <v>1409</v>
      </c>
      <c r="I575" t="s">
        <v>1436</v>
      </c>
      <c r="J575" s="21">
        <f>Table1[[#This Row],[interactions]]/Table1[[#This Row],[Attendance]]</f>
        <v>1</v>
      </c>
    </row>
    <row r="576" spans="1:10" x14ac:dyDescent="0.2">
      <c r="A576" t="s">
        <v>782</v>
      </c>
      <c r="B576" t="s">
        <v>1453</v>
      </c>
      <c r="C576" s="1">
        <v>45922</v>
      </c>
      <c r="D576" t="s">
        <v>1386</v>
      </c>
      <c r="E576">
        <v>26</v>
      </c>
      <c r="F576" s="18">
        <v>26</v>
      </c>
      <c r="H576" t="s">
        <v>1409</v>
      </c>
      <c r="I576" t="s">
        <v>1454</v>
      </c>
      <c r="J576" s="21">
        <f>Table1[[#This Row],[interactions]]/Table1[[#This Row],[Attendance]]</f>
        <v>1</v>
      </c>
    </row>
    <row r="577" spans="1:10" x14ac:dyDescent="0.2">
      <c r="A577" t="s">
        <v>782</v>
      </c>
      <c r="B577" t="s">
        <v>1541</v>
      </c>
      <c r="C577" s="1">
        <v>45839</v>
      </c>
      <c r="D577" t="s">
        <v>217</v>
      </c>
      <c r="E577">
        <v>26</v>
      </c>
      <c r="F577" s="18">
        <v>26</v>
      </c>
      <c r="H577" t="s">
        <v>608</v>
      </c>
      <c r="I577" t="s">
        <v>927</v>
      </c>
      <c r="J577" s="21">
        <f>Table1[[#This Row],[interactions]]/Table1[[#This Row],[Attendance]]</f>
        <v>1</v>
      </c>
    </row>
    <row r="578" spans="1:10" x14ac:dyDescent="0.2">
      <c r="A578" t="s">
        <v>782</v>
      </c>
      <c r="B578" t="s">
        <v>1620</v>
      </c>
      <c r="C578" s="1">
        <v>45721</v>
      </c>
      <c r="D578" t="s">
        <v>288</v>
      </c>
      <c r="E578">
        <v>30</v>
      </c>
      <c r="F578" s="18">
        <v>30</v>
      </c>
      <c r="G578" t="s">
        <v>1619</v>
      </c>
      <c r="H578" t="s">
        <v>649</v>
      </c>
      <c r="I578" t="s">
        <v>603</v>
      </c>
      <c r="J578" s="21">
        <f>Table1[[#This Row],[interactions]]/Table1[[#This Row],[Attendance]]</f>
        <v>1</v>
      </c>
    </row>
    <row r="579" spans="1:10" x14ac:dyDescent="0.2">
      <c r="A579" t="s">
        <v>782</v>
      </c>
      <c r="B579" t="s">
        <v>953</v>
      </c>
      <c r="C579" s="1">
        <v>45513</v>
      </c>
      <c r="D579" t="s">
        <v>237</v>
      </c>
      <c r="E579">
        <v>30</v>
      </c>
      <c r="F579" s="18">
        <v>30</v>
      </c>
      <c r="H579" t="s">
        <v>612</v>
      </c>
      <c r="I579" t="s">
        <v>614</v>
      </c>
      <c r="J579" s="21">
        <f>Table1[[#This Row],[interactions]]/Table1[[#This Row],[Attendance]]</f>
        <v>1</v>
      </c>
    </row>
    <row r="580" spans="1:10" x14ac:dyDescent="0.2">
      <c r="A580" t="s">
        <v>782</v>
      </c>
      <c r="B580" t="s">
        <v>1227</v>
      </c>
      <c r="C580" s="1">
        <v>45400</v>
      </c>
      <c r="D580" t="s">
        <v>288</v>
      </c>
      <c r="E580">
        <v>30</v>
      </c>
      <c r="F580" s="18">
        <v>30</v>
      </c>
      <c r="G580" t="s">
        <v>1226</v>
      </c>
      <c r="H580" t="s">
        <v>490</v>
      </c>
      <c r="J580" s="21">
        <f>Table1[[#This Row],[interactions]]/Table1[[#This Row],[Attendance]]</f>
        <v>1</v>
      </c>
    </row>
    <row r="581" spans="1:10" x14ac:dyDescent="0.2">
      <c r="A581" t="s">
        <v>782</v>
      </c>
      <c r="B581" t="s">
        <v>1328</v>
      </c>
      <c r="C581" s="1">
        <v>45343</v>
      </c>
      <c r="D581" t="s">
        <v>375</v>
      </c>
      <c r="E581">
        <v>30</v>
      </c>
      <c r="F581" s="18">
        <v>30</v>
      </c>
      <c r="G581" t="s">
        <v>1327</v>
      </c>
      <c r="H581" t="s">
        <v>1208</v>
      </c>
      <c r="J581" s="21">
        <f>Table1[[#This Row],[interactions]]/Table1[[#This Row],[Attendance]]</f>
        <v>1</v>
      </c>
    </row>
    <row r="582" spans="1:10" x14ac:dyDescent="0.2">
      <c r="A582" t="s">
        <v>782</v>
      </c>
      <c r="B582" t="s">
        <v>353</v>
      </c>
      <c r="C582" s="1">
        <v>45180</v>
      </c>
      <c r="D582" t="s">
        <v>237</v>
      </c>
      <c r="E582">
        <v>30</v>
      </c>
      <c r="F582" s="18">
        <v>30</v>
      </c>
      <c r="G582" t="s">
        <v>352</v>
      </c>
      <c r="H582" t="s">
        <v>215</v>
      </c>
      <c r="I582" t="s">
        <v>631</v>
      </c>
      <c r="J582" s="21">
        <f>Table1[[#This Row],[interactions]]/Table1[[#This Row],[Attendance]]</f>
        <v>1</v>
      </c>
    </row>
    <row r="583" spans="1:10" x14ac:dyDescent="0.2">
      <c r="A583" t="s">
        <v>782</v>
      </c>
      <c r="B583" t="s">
        <v>475</v>
      </c>
      <c r="C583" s="1">
        <v>45056</v>
      </c>
      <c r="D583" t="s">
        <v>237</v>
      </c>
      <c r="E583">
        <v>30</v>
      </c>
      <c r="F583" s="18">
        <v>30</v>
      </c>
      <c r="G583" t="s">
        <v>474</v>
      </c>
      <c r="H583" t="s">
        <v>22</v>
      </c>
      <c r="I583" t="s">
        <v>631</v>
      </c>
      <c r="J583" s="21">
        <f>Table1[[#This Row],[interactions]]/Table1[[#This Row],[Attendance]]</f>
        <v>1</v>
      </c>
    </row>
    <row r="584" spans="1:10" x14ac:dyDescent="0.2">
      <c r="A584" t="s">
        <v>782</v>
      </c>
      <c r="B584" t="s">
        <v>1528</v>
      </c>
      <c r="C584" s="1">
        <v>45856</v>
      </c>
      <c r="D584" t="s">
        <v>366</v>
      </c>
      <c r="E584">
        <v>35</v>
      </c>
      <c r="F584" s="18">
        <v>35</v>
      </c>
      <c r="H584" t="s">
        <v>608</v>
      </c>
      <c r="I584" t="s">
        <v>610</v>
      </c>
      <c r="J584" s="21">
        <f>Table1[[#This Row],[interactions]]/Table1[[#This Row],[Attendance]]</f>
        <v>1</v>
      </c>
    </row>
    <row r="585" spans="1:10" x14ac:dyDescent="0.2">
      <c r="A585" t="s">
        <v>782</v>
      </c>
      <c r="B585" t="s">
        <v>668</v>
      </c>
      <c r="C585" s="1">
        <v>45622</v>
      </c>
      <c r="D585" t="s">
        <v>237</v>
      </c>
      <c r="E585">
        <v>35</v>
      </c>
      <c r="F585" s="18">
        <v>35</v>
      </c>
      <c r="G585" t="s">
        <v>667</v>
      </c>
      <c r="H585" t="s">
        <v>215</v>
      </c>
      <c r="I585" t="s">
        <v>603</v>
      </c>
      <c r="J585" s="21">
        <f>Table1[[#This Row],[interactions]]/Table1[[#This Row],[Attendance]]</f>
        <v>1</v>
      </c>
    </row>
    <row r="586" spans="1:10" x14ac:dyDescent="0.2">
      <c r="A586" t="s">
        <v>782</v>
      </c>
      <c r="B586" t="s">
        <v>289</v>
      </c>
      <c r="C586" s="1">
        <v>45223</v>
      </c>
      <c r="D586" t="s">
        <v>288</v>
      </c>
      <c r="E586">
        <v>35</v>
      </c>
      <c r="F586" s="18">
        <v>35</v>
      </c>
      <c r="G586" t="s">
        <v>287</v>
      </c>
      <c r="H586" t="s">
        <v>215</v>
      </c>
      <c r="I586" t="s">
        <v>631</v>
      </c>
      <c r="J586" s="21">
        <f>Table1[[#This Row],[interactions]]/Table1[[#This Row],[Attendance]]</f>
        <v>1</v>
      </c>
    </row>
    <row r="587" spans="1:10" x14ac:dyDescent="0.2">
      <c r="A587" t="s">
        <v>782</v>
      </c>
      <c r="B587" t="s">
        <v>708</v>
      </c>
      <c r="C587" s="1">
        <v>45604</v>
      </c>
      <c r="D587" t="s">
        <v>237</v>
      </c>
      <c r="E587">
        <v>40</v>
      </c>
      <c r="F587" s="18">
        <v>40</v>
      </c>
      <c r="H587" t="s">
        <v>621</v>
      </c>
      <c r="I587" t="s">
        <v>623</v>
      </c>
      <c r="J587" s="21">
        <f>Table1[[#This Row],[interactions]]/Table1[[#This Row],[Attendance]]</f>
        <v>1</v>
      </c>
    </row>
    <row r="588" spans="1:10" x14ac:dyDescent="0.2">
      <c r="A588" s="15" t="s">
        <v>782</v>
      </c>
      <c r="B588" t="s">
        <v>789</v>
      </c>
      <c r="C588" s="1">
        <v>45567</v>
      </c>
      <c r="D588" t="s">
        <v>237</v>
      </c>
      <c r="E588">
        <v>40</v>
      </c>
      <c r="F588" s="18">
        <v>40</v>
      </c>
      <c r="I588" t="s">
        <v>790</v>
      </c>
      <c r="J588" s="21">
        <f>Table1[[#This Row],[interactions]]/Table1[[#This Row],[Attendance]]</f>
        <v>1</v>
      </c>
    </row>
    <row r="589" spans="1:10" x14ac:dyDescent="0.2">
      <c r="A589" t="s">
        <v>782</v>
      </c>
      <c r="B589" t="s">
        <v>160</v>
      </c>
      <c r="C589" s="1">
        <v>44692</v>
      </c>
      <c r="D589" t="s">
        <v>135</v>
      </c>
      <c r="E589">
        <v>40</v>
      </c>
      <c r="F589" s="18">
        <v>40</v>
      </c>
      <c r="G589" t="s">
        <v>144</v>
      </c>
      <c r="H589" t="s">
        <v>22</v>
      </c>
      <c r="I589" t="s">
        <v>631</v>
      </c>
      <c r="J589" s="21">
        <f>Table1[[#This Row],[interactions]]/Table1[[#This Row],[Attendance]]</f>
        <v>1</v>
      </c>
    </row>
    <row r="590" spans="1:10" x14ac:dyDescent="0.2">
      <c r="A590" t="s">
        <v>782</v>
      </c>
      <c r="B590" t="s">
        <v>1004</v>
      </c>
      <c r="C590" s="1">
        <v>45498</v>
      </c>
      <c r="D590" t="s">
        <v>581</v>
      </c>
      <c r="E590">
        <v>45</v>
      </c>
      <c r="F590" s="18">
        <v>45</v>
      </c>
      <c r="H590" t="s">
        <v>608</v>
      </c>
      <c r="I590" t="s">
        <v>679</v>
      </c>
      <c r="J590" s="21">
        <f>Table1[[#This Row],[interactions]]/Table1[[#This Row],[Attendance]]</f>
        <v>1</v>
      </c>
    </row>
    <row r="591" spans="1:10" x14ac:dyDescent="0.2">
      <c r="A591" t="s">
        <v>782</v>
      </c>
      <c r="B591" t="s">
        <v>174</v>
      </c>
      <c r="C591" s="1">
        <v>44671</v>
      </c>
      <c r="D591" t="s">
        <v>135</v>
      </c>
      <c r="E591">
        <v>45</v>
      </c>
      <c r="F591" s="18">
        <v>45</v>
      </c>
      <c r="G591" t="s">
        <v>144</v>
      </c>
      <c r="H591" t="s">
        <v>22</v>
      </c>
      <c r="I591" t="s">
        <v>631</v>
      </c>
      <c r="J591" s="21">
        <f>Table1[[#This Row],[interactions]]/Table1[[#This Row],[Attendance]]</f>
        <v>1</v>
      </c>
    </row>
    <row r="592" spans="1:10" x14ac:dyDescent="0.2">
      <c r="A592" t="s">
        <v>782</v>
      </c>
      <c r="B592" t="s">
        <v>176</v>
      </c>
      <c r="C592" s="1">
        <v>44659</v>
      </c>
      <c r="D592" t="s">
        <v>135</v>
      </c>
      <c r="E592">
        <v>45</v>
      </c>
      <c r="F592" s="18">
        <v>45</v>
      </c>
      <c r="G592" t="s">
        <v>144</v>
      </c>
      <c r="H592" t="s">
        <v>22</v>
      </c>
      <c r="I592" t="s">
        <v>631</v>
      </c>
      <c r="J592" s="21">
        <f>Table1[[#This Row],[interactions]]/Table1[[#This Row],[Attendance]]</f>
        <v>1</v>
      </c>
    </row>
    <row r="593" spans="1:10" x14ac:dyDescent="0.2">
      <c r="A593" t="s">
        <v>782</v>
      </c>
      <c r="B593" t="s">
        <v>1003</v>
      </c>
      <c r="C593" s="1">
        <v>45498</v>
      </c>
      <c r="D593" t="s">
        <v>581</v>
      </c>
      <c r="E593">
        <v>50</v>
      </c>
      <c r="F593" s="18">
        <v>50</v>
      </c>
      <c r="G593" t="s">
        <v>1002</v>
      </c>
      <c r="H593" t="s">
        <v>797</v>
      </c>
      <c r="I593" t="s">
        <v>779</v>
      </c>
      <c r="J593" s="21">
        <f>Table1[[#This Row],[interactions]]/Table1[[#This Row],[Attendance]]</f>
        <v>1</v>
      </c>
    </row>
    <row r="594" spans="1:10" x14ac:dyDescent="0.2">
      <c r="A594" t="s">
        <v>782</v>
      </c>
      <c r="B594" t="s">
        <v>1137</v>
      </c>
      <c r="C594" s="1">
        <v>45443</v>
      </c>
      <c r="D594" t="s">
        <v>581</v>
      </c>
      <c r="E594">
        <v>80</v>
      </c>
      <c r="F594" s="18">
        <v>80</v>
      </c>
      <c r="G594" t="s">
        <v>1136</v>
      </c>
      <c r="H594" t="s">
        <v>608</v>
      </c>
      <c r="J594" s="21">
        <f>Table1[[#This Row],[interactions]]/Table1[[#This Row],[Attendance]]</f>
        <v>1</v>
      </c>
    </row>
    <row r="595" spans="1:10" x14ac:dyDescent="0.2">
      <c r="A595" t="s">
        <v>782</v>
      </c>
      <c r="B595" t="s">
        <v>757</v>
      </c>
      <c r="C595" s="1">
        <v>45575</v>
      </c>
      <c r="D595" t="s">
        <v>237</v>
      </c>
      <c r="E595">
        <v>120</v>
      </c>
      <c r="F595" s="18">
        <v>120</v>
      </c>
      <c r="G595" t="s">
        <v>756</v>
      </c>
      <c r="H595" t="s">
        <v>608</v>
      </c>
      <c r="I595" t="s">
        <v>660</v>
      </c>
      <c r="J595" s="21">
        <f>Table1[[#This Row],[interactions]]/Table1[[#This Row],[Attendance]]</f>
        <v>1</v>
      </c>
    </row>
    <row r="596" spans="1:10" x14ac:dyDescent="0.2">
      <c r="A596" t="s">
        <v>15</v>
      </c>
      <c r="B596" t="s">
        <v>1850</v>
      </c>
      <c r="C596" s="1">
        <v>45897</v>
      </c>
      <c r="D596" t="s">
        <v>1849</v>
      </c>
      <c r="E596">
        <v>2</v>
      </c>
      <c r="F596" s="18">
        <v>2</v>
      </c>
      <c r="H596" t="s">
        <v>621</v>
      </c>
      <c r="I596" t="s">
        <v>631</v>
      </c>
      <c r="J596" s="21">
        <f>Table1[[#This Row],[interactions]]/Table1[[#This Row],[Attendance]]</f>
        <v>1</v>
      </c>
    </row>
    <row r="597" spans="1:10" x14ac:dyDescent="0.2">
      <c r="A597" t="s">
        <v>15</v>
      </c>
      <c r="B597" t="s">
        <v>1857</v>
      </c>
      <c r="C597" s="1">
        <v>45853</v>
      </c>
      <c r="D597" t="s">
        <v>1856</v>
      </c>
      <c r="E597">
        <v>2</v>
      </c>
      <c r="F597" s="18">
        <v>2</v>
      </c>
      <c r="H597" t="s">
        <v>1855</v>
      </c>
      <c r="I597" t="s">
        <v>631</v>
      </c>
      <c r="J597" s="21">
        <f>Table1[[#This Row],[interactions]]/Table1[[#This Row],[Attendance]]</f>
        <v>1</v>
      </c>
    </row>
    <row r="598" spans="1:10" x14ac:dyDescent="0.2">
      <c r="A598" t="s">
        <v>15</v>
      </c>
      <c r="B598" t="s">
        <v>1277</v>
      </c>
      <c r="C598" s="1">
        <v>45735</v>
      </c>
      <c r="D598" t="s">
        <v>1604</v>
      </c>
      <c r="E598">
        <v>5</v>
      </c>
      <c r="F598" s="18">
        <v>5</v>
      </c>
      <c r="H598" t="s">
        <v>1603</v>
      </c>
      <c r="I598" t="s">
        <v>631</v>
      </c>
      <c r="J598" s="21">
        <f>Table1[[#This Row],[interactions]]/Table1[[#This Row],[Attendance]]</f>
        <v>1</v>
      </c>
    </row>
    <row r="599" spans="1:10" x14ac:dyDescent="0.2">
      <c r="A599" t="s">
        <v>15</v>
      </c>
      <c r="B599" t="s">
        <v>1815</v>
      </c>
      <c r="C599" s="1">
        <v>45366</v>
      </c>
      <c r="D599" t="s">
        <v>1814</v>
      </c>
      <c r="E599">
        <v>10</v>
      </c>
      <c r="F599" s="18">
        <v>10</v>
      </c>
      <c r="H599" t="s">
        <v>685</v>
      </c>
      <c r="I599" t="s">
        <v>631</v>
      </c>
      <c r="J599" s="21">
        <f>Table1[[#This Row],[interactions]]/Table1[[#This Row],[Attendance]]</f>
        <v>1</v>
      </c>
    </row>
    <row r="600" spans="1:10" x14ac:dyDescent="0.2">
      <c r="A600" t="s">
        <v>15</v>
      </c>
      <c r="B600" t="s">
        <v>1607</v>
      </c>
      <c r="C600" s="1">
        <v>45734</v>
      </c>
      <c r="D600" t="s">
        <v>288</v>
      </c>
      <c r="E600">
        <v>12</v>
      </c>
      <c r="F600" s="18">
        <v>12</v>
      </c>
      <c r="G600" t="s">
        <v>1606</v>
      </c>
      <c r="H600" t="s">
        <v>649</v>
      </c>
      <c r="I600" t="s">
        <v>596</v>
      </c>
      <c r="J600" s="21">
        <f>Table1[[#This Row],[interactions]]/Table1[[#This Row],[Attendance]]</f>
        <v>1</v>
      </c>
    </row>
    <row r="601" spans="1:10" x14ac:dyDescent="0.2">
      <c r="A601" t="s">
        <v>15</v>
      </c>
      <c r="B601" t="s">
        <v>659</v>
      </c>
      <c r="C601" s="1">
        <v>45629</v>
      </c>
      <c r="D601" t="s">
        <v>237</v>
      </c>
      <c r="E601">
        <v>20</v>
      </c>
      <c r="F601" s="18">
        <v>20</v>
      </c>
      <c r="G601" t="s">
        <v>658</v>
      </c>
      <c r="H601" t="s">
        <v>608</v>
      </c>
      <c r="I601" t="s">
        <v>660</v>
      </c>
      <c r="J601" s="21">
        <f>Table1[[#This Row],[interactions]]/Table1[[#This Row],[Attendance]]</f>
        <v>1</v>
      </c>
    </row>
    <row r="602" spans="1:10" x14ac:dyDescent="0.2">
      <c r="A602" t="s">
        <v>15</v>
      </c>
      <c r="B602" t="s">
        <v>1794</v>
      </c>
      <c r="C602" s="1">
        <v>45408</v>
      </c>
      <c r="D602" t="s">
        <v>1793</v>
      </c>
      <c r="E602">
        <v>20</v>
      </c>
      <c r="F602" s="18">
        <v>20</v>
      </c>
      <c r="I602" t="s">
        <v>631</v>
      </c>
      <c r="J602" s="21">
        <f>Table1[[#This Row],[interactions]]/Table1[[#This Row],[Attendance]]</f>
        <v>1</v>
      </c>
    </row>
    <row r="603" spans="1:10" x14ac:dyDescent="0.2">
      <c r="A603" t="s">
        <v>15</v>
      </c>
      <c r="B603" t="s">
        <v>1668</v>
      </c>
      <c r="C603" s="1">
        <v>45307</v>
      </c>
      <c r="D603" t="s">
        <v>237</v>
      </c>
      <c r="E603">
        <v>25</v>
      </c>
      <c r="F603" s="18">
        <v>25</v>
      </c>
      <c r="G603" t="s">
        <v>1667</v>
      </c>
      <c r="H603" t="s">
        <v>608</v>
      </c>
      <c r="I603" t="s">
        <v>679</v>
      </c>
      <c r="J603" s="21">
        <f>Table1[[#This Row],[interactions]]/Table1[[#This Row],[Attendance]]</f>
        <v>1</v>
      </c>
    </row>
    <row r="604" spans="1:10" x14ac:dyDescent="0.2">
      <c r="A604" t="s">
        <v>15</v>
      </c>
      <c r="B604" t="s">
        <v>1755</v>
      </c>
      <c r="C604" s="1">
        <v>44952</v>
      </c>
      <c r="D604" t="s">
        <v>1754</v>
      </c>
      <c r="E604">
        <v>25</v>
      </c>
      <c r="F604" s="18">
        <v>25</v>
      </c>
      <c r="G604" t="s">
        <v>1753</v>
      </c>
      <c r="H604" t="s">
        <v>564</v>
      </c>
      <c r="I604" t="s">
        <v>631</v>
      </c>
      <c r="J604" s="21">
        <f>Table1[[#This Row],[interactions]]/Table1[[#This Row],[Attendance]]</f>
        <v>1</v>
      </c>
    </row>
    <row r="605" spans="1:10" x14ac:dyDescent="0.2">
      <c r="A605" t="s">
        <v>15</v>
      </c>
      <c r="B605" t="s">
        <v>97</v>
      </c>
      <c r="C605" s="1">
        <v>44902</v>
      </c>
      <c r="D605" t="s">
        <v>96</v>
      </c>
      <c r="E605">
        <v>40</v>
      </c>
      <c r="F605" s="18">
        <v>40</v>
      </c>
      <c r="G605" t="s">
        <v>9</v>
      </c>
      <c r="H605" t="s">
        <v>22</v>
      </c>
      <c r="I605" t="s">
        <v>631</v>
      </c>
      <c r="J605" s="21">
        <f>Table1[[#This Row],[interactions]]/Table1[[#This Row],[Attendance]]</f>
        <v>1</v>
      </c>
    </row>
    <row r="606" spans="1:10" x14ac:dyDescent="0.2">
      <c r="A606" t="s">
        <v>15</v>
      </c>
      <c r="B606" t="s">
        <v>99</v>
      </c>
      <c r="C606" s="1">
        <v>44896</v>
      </c>
      <c r="D606" t="s">
        <v>96</v>
      </c>
      <c r="E606">
        <v>40</v>
      </c>
      <c r="F606" s="18">
        <v>40</v>
      </c>
      <c r="G606" t="s">
        <v>98</v>
      </c>
      <c r="H606" t="s">
        <v>22</v>
      </c>
      <c r="I606" t="s">
        <v>631</v>
      </c>
      <c r="J606" s="21">
        <f>Table1[[#This Row],[interactions]]/Table1[[#This Row],[Attendance]]</f>
        <v>1</v>
      </c>
    </row>
    <row r="607" spans="1:10" x14ac:dyDescent="0.2">
      <c r="A607" t="s">
        <v>15</v>
      </c>
      <c r="B607" t="s">
        <v>145</v>
      </c>
      <c r="C607" s="1">
        <v>44722</v>
      </c>
      <c r="D607" t="s">
        <v>135</v>
      </c>
      <c r="E607">
        <v>40</v>
      </c>
      <c r="F607" s="18">
        <v>40</v>
      </c>
      <c r="G607" t="s">
        <v>144</v>
      </c>
      <c r="H607" t="s">
        <v>22</v>
      </c>
      <c r="I607" t="s">
        <v>631</v>
      </c>
      <c r="J607" s="21">
        <f>Table1[[#This Row],[interactions]]/Table1[[#This Row],[Attendance]]</f>
        <v>1</v>
      </c>
    </row>
    <row r="608" spans="1:10" x14ac:dyDescent="0.2">
      <c r="A608" t="s">
        <v>15</v>
      </c>
      <c r="B608" t="s">
        <v>182</v>
      </c>
      <c r="C608" s="1">
        <v>44652</v>
      </c>
      <c r="D608" t="s">
        <v>135</v>
      </c>
      <c r="E608">
        <v>40</v>
      </c>
      <c r="F608" s="18">
        <v>40</v>
      </c>
      <c r="G608" t="s">
        <v>181</v>
      </c>
      <c r="H608" t="s">
        <v>22</v>
      </c>
      <c r="I608" t="s">
        <v>631</v>
      </c>
      <c r="J608" s="21">
        <f>Table1[[#This Row],[interactions]]/Table1[[#This Row],[Attendance]]</f>
        <v>1</v>
      </c>
    </row>
    <row r="609" spans="1:10" x14ac:dyDescent="0.2">
      <c r="A609" t="s">
        <v>15</v>
      </c>
      <c r="B609" t="s">
        <v>1782</v>
      </c>
      <c r="C609" s="1">
        <v>45470</v>
      </c>
      <c r="D609" t="s">
        <v>1781</v>
      </c>
      <c r="E609">
        <v>50</v>
      </c>
      <c r="F609" s="18">
        <v>50</v>
      </c>
      <c r="H609" t="s">
        <v>685</v>
      </c>
      <c r="I609" t="s">
        <v>631</v>
      </c>
      <c r="J609" s="21">
        <f>Table1[[#This Row],[interactions]]/Table1[[#This Row],[Attendance]]</f>
        <v>1</v>
      </c>
    </row>
    <row r="610" spans="1:10" x14ac:dyDescent="0.2">
      <c r="A610" t="s">
        <v>15</v>
      </c>
      <c r="B610" t="s">
        <v>1797</v>
      </c>
      <c r="C610" s="1">
        <v>45407</v>
      </c>
      <c r="D610" t="s">
        <v>1796</v>
      </c>
      <c r="E610">
        <v>50</v>
      </c>
      <c r="F610" s="18">
        <v>50</v>
      </c>
      <c r="G610" t="s">
        <v>1795</v>
      </c>
      <c r="I610" t="s">
        <v>631</v>
      </c>
      <c r="J610" s="21">
        <f>Table1[[#This Row],[interactions]]/Table1[[#This Row],[Attendance]]</f>
        <v>1</v>
      </c>
    </row>
    <row r="611" spans="1:10" x14ac:dyDescent="0.2">
      <c r="A611" t="s">
        <v>15</v>
      </c>
      <c r="B611" t="s">
        <v>1697</v>
      </c>
      <c r="C611" s="1">
        <v>45110</v>
      </c>
      <c r="D611" t="s">
        <v>1696</v>
      </c>
      <c r="E611">
        <v>50</v>
      </c>
      <c r="F611" s="18">
        <v>50</v>
      </c>
      <c r="H611" t="s">
        <v>452</v>
      </c>
      <c r="I611" t="s">
        <v>631</v>
      </c>
      <c r="J611" s="21">
        <f>Table1[[#This Row],[interactions]]/Table1[[#This Row],[Attendance]]</f>
        <v>1</v>
      </c>
    </row>
    <row r="612" spans="1:10" x14ac:dyDescent="0.2">
      <c r="A612" t="s">
        <v>15</v>
      </c>
      <c r="B612" t="s">
        <v>1715</v>
      </c>
      <c r="C612" s="1">
        <v>45071</v>
      </c>
      <c r="D612" t="s">
        <v>1714</v>
      </c>
      <c r="E612">
        <v>50</v>
      </c>
      <c r="F612" s="18">
        <v>50</v>
      </c>
      <c r="G612" t="s">
        <v>1713</v>
      </c>
      <c r="H612" t="s">
        <v>22</v>
      </c>
      <c r="I612" t="s">
        <v>631</v>
      </c>
      <c r="J612" s="21">
        <f>Table1[[#This Row],[interactions]]/Table1[[#This Row],[Attendance]]</f>
        <v>1</v>
      </c>
    </row>
    <row r="613" spans="1:10" x14ac:dyDescent="0.2">
      <c r="A613" t="s">
        <v>15</v>
      </c>
      <c r="B613" t="s">
        <v>124</v>
      </c>
      <c r="C613" s="1">
        <v>44812</v>
      </c>
      <c r="D613" t="s">
        <v>96</v>
      </c>
      <c r="E613">
        <v>50</v>
      </c>
      <c r="F613" s="18">
        <v>50</v>
      </c>
      <c r="G613" t="s">
        <v>123</v>
      </c>
      <c r="H613" t="s">
        <v>10</v>
      </c>
      <c r="I613" t="s">
        <v>631</v>
      </c>
      <c r="J613" s="21">
        <f>Table1[[#This Row],[interactions]]/Table1[[#This Row],[Attendance]]</f>
        <v>1</v>
      </c>
    </row>
    <row r="614" spans="1:10" x14ac:dyDescent="0.2">
      <c r="A614" t="s">
        <v>15</v>
      </c>
      <c r="B614" t="s">
        <v>1854</v>
      </c>
      <c r="C614" s="1">
        <v>45862</v>
      </c>
      <c r="D614" t="s">
        <v>1853</v>
      </c>
      <c r="E614">
        <v>60</v>
      </c>
      <c r="F614" s="18">
        <v>60</v>
      </c>
      <c r="H614" t="s">
        <v>621</v>
      </c>
      <c r="I614" t="s">
        <v>631</v>
      </c>
      <c r="J614" s="21">
        <f>Table1[[#This Row],[interactions]]/Table1[[#This Row],[Attendance]]</f>
        <v>1</v>
      </c>
    </row>
    <row r="615" spans="1:10" x14ac:dyDescent="0.2">
      <c r="A615" t="s">
        <v>15</v>
      </c>
      <c r="B615" t="s">
        <v>1001</v>
      </c>
      <c r="C615" s="1">
        <v>45499</v>
      </c>
      <c r="D615" t="s">
        <v>581</v>
      </c>
      <c r="E615">
        <v>60</v>
      </c>
      <c r="F615" s="18">
        <v>60</v>
      </c>
      <c r="G615" t="s">
        <v>1000</v>
      </c>
      <c r="H615" t="s">
        <v>608</v>
      </c>
      <c r="I615" t="s">
        <v>666</v>
      </c>
      <c r="J615" s="21">
        <f>Table1[[#This Row],[interactions]]/Table1[[#This Row],[Attendance]]</f>
        <v>1</v>
      </c>
    </row>
    <row r="616" spans="1:10" x14ac:dyDescent="0.2">
      <c r="A616" t="s">
        <v>15</v>
      </c>
      <c r="B616" t="s">
        <v>153</v>
      </c>
      <c r="C616" s="1">
        <v>44708</v>
      </c>
      <c r="D616" t="s">
        <v>96</v>
      </c>
      <c r="E616">
        <v>60</v>
      </c>
      <c r="F616" s="18">
        <v>60</v>
      </c>
      <c r="G616" t="s">
        <v>152</v>
      </c>
      <c r="H616" t="s">
        <v>10</v>
      </c>
      <c r="I616" t="s">
        <v>631</v>
      </c>
      <c r="J616" s="21">
        <f>Table1[[#This Row],[interactions]]/Table1[[#This Row],[Attendance]]</f>
        <v>1</v>
      </c>
    </row>
    <row r="617" spans="1:10" x14ac:dyDescent="0.2">
      <c r="A617" t="s">
        <v>15</v>
      </c>
      <c r="B617" t="s">
        <v>1761</v>
      </c>
      <c r="C617" s="1">
        <v>45613</v>
      </c>
      <c r="D617" t="s">
        <v>1760</v>
      </c>
      <c r="E617">
        <v>75</v>
      </c>
      <c r="F617" s="18">
        <v>75</v>
      </c>
      <c r="I617" t="s">
        <v>631</v>
      </c>
      <c r="J617" s="21">
        <f>Table1[[#This Row],[interactions]]/Table1[[#This Row],[Attendance]]</f>
        <v>1</v>
      </c>
    </row>
    <row r="618" spans="1:10" x14ac:dyDescent="0.2">
      <c r="A618" t="s">
        <v>15</v>
      </c>
      <c r="B618" t="s">
        <v>1684</v>
      </c>
      <c r="C618" s="1">
        <v>45190</v>
      </c>
      <c r="D618" t="s">
        <v>1669</v>
      </c>
      <c r="E618">
        <v>75</v>
      </c>
      <c r="F618" s="18">
        <v>75</v>
      </c>
      <c r="H618" t="s">
        <v>1677</v>
      </c>
      <c r="I618" t="s">
        <v>631</v>
      </c>
      <c r="J618" s="21">
        <f>Table1[[#This Row],[interactions]]/Table1[[#This Row],[Attendance]]</f>
        <v>1</v>
      </c>
    </row>
    <row r="619" spans="1:10" x14ac:dyDescent="0.2">
      <c r="A619" t="s">
        <v>15</v>
      </c>
      <c r="B619" t="s">
        <v>1485</v>
      </c>
      <c r="C619" s="1">
        <v>45904</v>
      </c>
      <c r="D619" t="s">
        <v>366</v>
      </c>
      <c r="E619">
        <v>100</v>
      </c>
      <c r="F619" s="18">
        <v>100</v>
      </c>
      <c r="H619" t="s">
        <v>685</v>
      </c>
      <c r="I619" t="s">
        <v>1173</v>
      </c>
      <c r="J619" s="21">
        <f>Table1[[#This Row],[interactions]]/Table1[[#This Row],[Attendance]]</f>
        <v>1</v>
      </c>
    </row>
    <row r="620" spans="1:10" x14ac:dyDescent="0.2">
      <c r="A620" t="s">
        <v>15</v>
      </c>
      <c r="B620" t="s">
        <v>684</v>
      </c>
      <c r="C620" s="1">
        <v>45615</v>
      </c>
      <c r="D620" t="s">
        <v>217</v>
      </c>
      <c r="E620">
        <v>100</v>
      </c>
      <c r="F620" s="18">
        <v>100</v>
      </c>
      <c r="G620" t="s">
        <v>682</v>
      </c>
      <c r="H620" t="s">
        <v>215</v>
      </c>
      <c r="I620" t="s">
        <v>593</v>
      </c>
      <c r="J620" s="21">
        <f>Table1[[#This Row],[interactions]]/Table1[[#This Row],[Attendance]]</f>
        <v>1</v>
      </c>
    </row>
    <row r="621" spans="1:10" x14ac:dyDescent="0.2">
      <c r="A621" t="s">
        <v>15</v>
      </c>
      <c r="B621" t="s">
        <v>855</v>
      </c>
      <c r="C621" s="1">
        <v>45549</v>
      </c>
      <c r="D621" t="s">
        <v>94</v>
      </c>
      <c r="E621">
        <v>100</v>
      </c>
      <c r="F621" s="18">
        <v>100</v>
      </c>
      <c r="G621" t="s">
        <v>854</v>
      </c>
      <c r="H621" t="s">
        <v>853</v>
      </c>
      <c r="I621" t="s">
        <v>593</v>
      </c>
      <c r="J621" s="21">
        <f>Table1[[#This Row],[interactions]]/Table1[[#This Row],[Attendance]]</f>
        <v>1</v>
      </c>
    </row>
    <row r="622" spans="1:10" x14ac:dyDescent="0.2">
      <c r="A622" t="s">
        <v>15</v>
      </c>
      <c r="B622" t="s">
        <v>1816</v>
      </c>
      <c r="C622" s="1">
        <v>45365</v>
      </c>
      <c r="D622" t="s">
        <v>1814</v>
      </c>
      <c r="E622">
        <v>100</v>
      </c>
      <c r="F622" s="18">
        <v>100</v>
      </c>
      <c r="H622" t="s">
        <v>685</v>
      </c>
      <c r="I622" t="s">
        <v>631</v>
      </c>
      <c r="J622" s="21">
        <f>Table1[[#This Row],[interactions]]/Table1[[#This Row],[Attendance]]</f>
        <v>1</v>
      </c>
    </row>
    <row r="623" spans="1:10" x14ac:dyDescent="0.2">
      <c r="A623" s="15" t="s">
        <v>15</v>
      </c>
      <c r="B623" t="s">
        <v>1817</v>
      </c>
      <c r="C623" s="1">
        <v>45364</v>
      </c>
      <c r="D623" t="s">
        <v>1814</v>
      </c>
      <c r="E623">
        <v>100</v>
      </c>
      <c r="F623" s="18">
        <v>100</v>
      </c>
      <c r="H623" t="s">
        <v>685</v>
      </c>
      <c r="I623" t="s">
        <v>631</v>
      </c>
      <c r="J623" s="21">
        <f>Table1[[#This Row],[interactions]]/Table1[[#This Row],[Attendance]]</f>
        <v>1</v>
      </c>
    </row>
    <row r="624" spans="1:10" x14ac:dyDescent="0.2">
      <c r="A624" t="s">
        <v>15</v>
      </c>
      <c r="B624" t="s">
        <v>1819</v>
      </c>
      <c r="C624" s="1">
        <v>45363</v>
      </c>
      <c r="D624" t="s">
        <v>1814</v>
      </c>
      <c r="E624">
        <v>100</v>
      </c>
      <c r="F624" s="18">
        <v>100</v>
      </c>
      <c r="G624" t="s">
        <v>1818</v>
      </c>
      <c r="H624" t="s">
        <v>685</v>
      </c>
      <c r="I624" t="s">
        <v>631</v>
      </c>
      <c r="J624" s="21">
        <f>Table1[[#This Row],[interactions]]/Table1[[#This Row],[Attendance]]</f>
        <v>1</v>
      </c>
    </row>
    <row r="625" spans="1:10" x14ac:dyDescent="0.2">
      <c r="A625" t="s">
        <v>15</v>
      </c>
      <c r="B625" t="s">
        <v>1683</v>
      </c>
      <c r="C625" s="1">
        <v>45195</v>
      </c>
      <c r="D625" t="s">
        <v>1682</v>
      </c>
      <c r="E625">
        <v>100</v>
      </c>
      <c r="F625" s="18">
        <v>100</v>
      </c>
      <c r="H625" t="s">
        <v>1677</v>
      </c>
      <c r="I625" t="s">
        <v>631</v>
      </c>
      <c r="J625" s="21">
        <f>Table1[[#This Row],[interactions]]/Table1[[#This Row],[Attendance]]</f>
        <v>1</v>
      </c>
    </row>
    <row r="626" spans="1:10" x14ac:dyDescent="0.2">
      <c r="A626" t="s">
        <v>15</v>
      </c>
      <c r="B626" t="s">
        <v>1848</v>
      </c>
      <c r="C626" s="1">
        <v>45927</v>
      </c>
      <c r="D626" t="s">
        <v>1847</v>
      </c>
      <c r="E626">
        <v>105</v>
      </c>
      <c r="F626" s="18">
        <v>105</v>
      </c>
      <c r="H626" t="s">
        <v>621</v>
      </c>
      <c r="I626" t="s">
        <v>631</v>
      </c>
      <c r="J626" s="21">
        <f>Table1[[#This Row],[interactions]]/Table1[[#This Row],[Attendance]]</f>
        <v>1</v>
      </c>
    </row>
    <row r="627" spans="1:10" x14ac:dyDescent="0.2">
      <c r="A627" t="s">
        <v>15</v>
      </c>
      <c r="B627" t="s">
        <v>156</v>
      </c>
      <c r="C627" s="1">
        <v>44707</v>
      </c>
      <c r="D627" t="s">
        <v>155</v>
      </c>
      <c r="E627">
        <v>120</v>
      </c>
      <c r="F627" s="18">
        <v>120</v>
      </c>
      <c r="G627" t="s">
        <v>154</v>
      </c>
      <c r="H627" t="s">
        <v>22</v>
      </c>
      <c r="I627" t="s">
        <v>631</v>
      </c>
      <c r="J627" s="21">
        <f>Table1[[#This Row],[interactions]]/Table1[[#This Row],[Attendance]]</f>
        <v>1</v>
      </c>
    </row>
    <row r="628" spans="1:10" x14ac:dyDescent="0.2">
      <c r="A628" t="s">
        <v>15</v>
      </c>
      <c r="B628" t="s">
        <v>432</v>
      </c>
      <c r="C628" s="1">
        <v>45476</v>
      </c>
      <c r="D628" t="s">
        <v>1780</v>
      </c>
      <c r="E628">
        <v>125</v>
      </c>
      <c r="F628" s="18">
        <v>125</v>
      </c>
      <c r="G628" t="s">
        <v>1779</v>
      </c>
      <c r="H628" t="s">
        <v>1778</v>
      </c>
      <c r="I628" t="s">
        <v>631</v>
      </c>
      <c r="J628" s="21">
        <f>Table1[[#This Row],[interactions]]/Table1[[#This Row],[Attendance]]</f>
        <v>1</v>
      </c>
    </row>
    <row r="629" spans="1:10" x14ac:dyDescent="0.2">
      <c r="A629" t="s">
        <v>15</v>
      </c>
      <c r="B629" t="s">
        <v>1821</v>
      </c>
      <c r="C629" s="1">
        <v>45362</v>
      </c>
      <c r="D629" t="s">
        <v>1814</v>
      </c>
      <c r="E629">
        <v>300</v>
      </c>
      <c r="F629" s="18">
        <v>300</v>
      </c>
      <c r="G629" t="s">
        <v>1820</v>
      </c>
      <c r="H629" t="s">
        <v>685</v>
      </c>
      <c r="I629" t="s">
        <v>631</v>
      </c>
      <c r="J629" s="21">
        <f>Table1[[#This Row],[interactions]]/Table1[[#This Row],[Attendance]]</f>
        <v>1</v>
      </c>
    </row>
    <row r="630" spans="1:10" x14ac:dyDescent="0.2">
      <c r="A630" t="s">
        <v>15</v>
      </c>
      <c r="B630" t="s">
        <v>1679</v>
      </c>
      <c r="C630" s="1">
        <v>45206</v>
      </c>
      <c r="D630" t="s">
        <v>1678</v>
      </c>
      <c r="E630">
        <v>300</v>
      </c>
      <c r="F630" s="18">
        <v>300</v>
      </c>
      <c r="H630" t="s">
        <v>1677</v>
      </c>
      <c r="I630" t="s">
        <v>631</v>
      </c>
      <c r="J630" s="21">
        <f>Table1[[#This Row],[interactions]]/Table1[[#This Row],[Attendance]]</f>
        <v>1</v>
      </c>
    </row>
    <row r="631" spans="1:10" x14ac:dyDescent="0.2">
      <c r="A631" t="s">
        <v>15</v>
      </c>
      <c r="B631" t="s">
        <v>62</v>
      </c>
      <c r="C631" s="1">
        <v>44501</v>
      </c>
      <c r="D631" t="s">
        <v>63</v>
      </c>
      <c r="E631">
        <v>320</v>
      </c>
      <c r="F631" s="18">
        <v>320</v>
      </c>
      <c r="G631" t="s">
        <v>64</v>
      </c>
      <c r="H631" t="s">
        <v>10</v>
      </c>
      <c r="I631" t="s">
        <v>631</v>
      </c>
      <c r="J631" s="21">
        <f>Table1[[#This Row],[interactions]]/Table1[[#This Row],[Attendance]]</f>
        <v>1</v>
      </c>
    </row>
    <row r="632" spans="1:10" x14ac:dyDescent="0.2">
      <c r="A632" t="s">
        <v>15</v>
      </c>
      <c r="B632" t="s">
        <v>62</v>
      </c>
      <c r="C632" s="1">
        <v>44866</v>
      </c>
      <c r="D632" t="s">
        <v>101</v>
      </c>
      <c r="E632">
        <v>450</v>
      </c>
      <c r="F632" s="18">
        <v>450</v>
      </c>
      <c r="G632" t="s">
        <v>100</v>
      </c>
      <c r="H632" t="s">
        <v>22</v>
      </c>
      <c r="I632" t="s">
        <v>631</v>
      </c>
      <c r="J632" s="21">
        <f>Table1[[#This Row],[interactions]]/Table1[[#This Row],[Attendance]]</f>
        <v>1</v>
      </c>
    </row>
    <row r="633" spans="1:10" x14ac:dyDescent="0.2">
      <c r="A633" t="s">
        <v>15</v>
      </c>
      <c r="B633" t="s">
        <v>773</v>
      </c>
      <c r="C633" s="1">
        <v>45570</v>
      </c>
      <c r="D633" t="s">
        <v>115</v>
      </c>
      <c r="E633">
        <v>500</v>
      </c>
      <c r="F633" s="18">
        <v>500</v>
      </c>
      <c r="H633" t="s">
        <v>772</v>
      </c>
      <c r="I633" t="s">
        <v>631</v>
      </c>
      <c r="J633" s="21">
        <f>Table1[[#This Row],[interactions]]/Table1[[#This Row],[Attendance]]</f>
        <v>1</v>
      </c>
    </row>
    <row r="634" spans="1:10" x14ac:dyDescent="0.2">
      <c r="A634" t="s">
        <v>15</v>
      </c>
      <c r="B634" t="s">
        <v>1676</v>
      </c>
      <c r="C634" s="1">
        <v>45231</v>
      </c>
      <c r="D634" t="s">
        <v>1675</v>
      </c>
      <c r="E634">
        <v>500</v>
      </c>
      <c r="F634" s="18">
        <v>500</v>
      </c>
      <c r="H634" t="s">
        <v>685</v>
      </c>
      <c r="I634" t="s">
        <v>631</v>
      </c>
      <c r="J634" s="21">
        <f>Table1[[#This Row],[interactions]]/Table1[[#This Row],[Attendance]]</f>
        <v>1</v>
      </c>
    </row>
    <row r="635" spans="1:10" x14ac:dyDescent="0.2">
      <c r="A635" t="s">
        <v>15</v>
      </c>
      <c r="B635" t="s">
        <v>1676</v>
      </c>
      <c r="C635" s="1">
        <v>45602</v>
      </c>
      <c r="E635">
        <v>600</v>
      </c>
      <c r="F635" s="18">
        <v>600</v>
      </c>
      <c r="I635" t="s">
        <v>631</v>
      </c>
      <c r="J635" s="21">
        <f>Table1[[#This Row],[interactions]]/Table1[[#This Row],[Attendance]]</f>
        <v>1</v>
      </c>
    </row>
    <row r="636" spans="1:10" x14ac:dyDescent="0.2">
      <c r="A636" t="s">
        <v>15</v>
      </c>
      <c r="B636" t="s">
        <v>1852</v>
      </c>
      <c r="C636" s="1">
        <v>45892</v>
      </c>
      <c r="D636" t="s">
        <v>1851</v>
      </c>
      <c r="E636">
        <v>641</v>
      </c>
      <c r="F636" s="18">
        <v>641</v>
      </c>
      <c r="H636" t="s">
        <v>608</v>
      </c>
      <c r="I636" t="s">
        <v>631</v>
      </c>
      <c r="J636" s="21">
        <f>Table1[[#This Row],[interactions]]/Table1[[#This Row],[Attendance]]</f>
        <v>1</v>
      </c>
    </row>
    <row r="637" spans="1:10" x14ac:dyDescent="0.2">
      <c r="A637" t="s">
        <v>15</v>
      </c>
      <c r="B637" t="s">
        <v>1824</v>
      </c>
      <c r="C637" s="1">
        <v>45355</v>
      </c>
      <c r="D637" t="s">
        <v>1823</v>
      </c>
      <c r="E637">
        <v>650</v>
      </c>
      <c r="F637" s="18">
        <v>650</v>
      </c>
      <c r="G637" t="s">
        <v>1822</v>
      </c>
      <c r="H637" t="s">
        <v>685</v>
      </c>
      <c r="I637" t="s">
        <v>631</v>
      </c>
      <c r="J637" s="21">
        <f>Table1[[#This Row],[interactions]]/Table1[[#This Row],[Attendance]]</f>
        <v>1</v>
      </c>
    </row>
    <row r="638" spans="1:10" x14ac:dyDescent="0.2">
      <c r="A638" t="s">
        <v>15</v>
      </c>
      <c r="B638" t="s">
        <v>1096</v>
      </c>
      <c r="C638" s="1">
        <v>45456</v>
      </c>
      <c r="D638" t="s">
        <v>217</v>
      </c>
      <c r="E638">
        <v>10</v>
      </c>
      <c r="F638" s="18">
        <v>10</v>
      </c>
      <c r="G638" t="s">
        <v>1095</v>
      </c>
      <c r="H638" t="s">
        <v>1093</v>
      </c>
      <c r="J638" s="21">
        <f>Table1[[#This Row],[interactions]]/Table1[[#This Row],[Attendance]]</f>
        <v>1</v>
      </c>
    </row>
    <row r="639" spans="1:10" x14ac:dyDescent="0.2">
      <c r="A639" t="s">
        <v>15</v>
      </c>
      <c r="B639" t="s">
        <v>182</v>
      </c>
      <c r="C639" s="1">
        <v>45163</v>
      </c>
      <c r="D639" t="s">
        <v>375</v>
      </c>
      <c r="E639">
        <v>60</v>
      </c>
      <c r="F639" s="18">
        <v>60</v>
      </c>
      <c r="G639" t="s">
        <v>374</v>
      </c>
      <c r="H639" t="s">
        <v>22</v>
      </c>
      <c r="I639" t="s">
        <v>631</v>
      </c>
      <c r="J639" s="21">
        <f>Table1[[#This Row],[interactions]]/Table1[[#This Row],[Attendance]]</f>
        <v>1</v>
      </c>
    </row>
    <row r="640" spans="1:10" x14ac:dyDescent="0.2">
      <c r="A640" t="s">
        <v>15</v>
      </c>
      <c r="B640" t="s">
        <v>1149</v>
      </c>
      <c r="C640" s="1">
        <v>45438</v>
      </c>
      <c r="D640" t="s">
        <v>115</v>
      </c>
      <c r="E640">
        <v>250</v>
      </c>
      <c r="F640" s="18">
        <v>250</v>
      </c>
      <c r="G640" t="s">
        <v>1148</v>
      </c>
      <c r="H640" t="s">
        <v>1147</v>
      </c>
      <c r="J640" s="21">
        <f>Table1[[#This Row],[interactions]]/Table1[[#This Row],[Attendance]]</f>
        <v>1</v>
      </c>
    </row>
    <row r="641" spans="1:10" x14ac:dyDescent="0.2">
      <c r="A641" t="s">
        <v>15</v>
      </c>
      <c r="B641" t="s">
        <v>102</v>
      </c>
      <c r="C641" s="1">
        <v>44877</v>
      </c>
      <c r="D641" t="s">
        <v>101</v>
      </c>
      <c r="E641">
        <v>1000</v>
      </c>
      <c r="F641" s="18">
        <v>1000</v>
      </c>
      <c r="G641" t="s">
        <v>100</v>
      </c>
      <c r="H641" t="s">
        <v>22</v>
      </c>
      <c r="I641" t="s">
        <v>631</v>
      </c>
      <c r="J641" s="21">
        <f>Table1[[#This Row],[interactions]]/Table1[[#This Row],[Attendance]]</f>
        <v>1</v>
      </c>
    </row>
    <row r="642" spans="1:10" x14ac:dyDescent="0.2">
      <c r="A642" t="s">
        <v>15</v>
      </c>
      <c r="B642" t="s">
        <v>1825</v>
      </c>
      <c r="C642" s="1">
        <v>45326</v>
      </c>
      <c r="E642">
        <v>1600</v>
      </c>
      <c r="F642" s="18">
        <v>1600</v>
      </c>
      <c r="H642" t="s">
        <v>685</v>
      </c>
      <c r="I642" t="s">
        <v>631</v>
      </c>
      <c r="J642" s="21">
        <f>Table1[[#This Row],[interactions]]/Table1[[#This Row],[Attendance]]</f>
        <v>1</v>
      </c>
    </row>
    <row r="643" spans="1:10" x14ac:dyDescent="0.2">
      <c r="A643" t="s">
        <v>15</v>
      </c>
      <c r="B643" t="s">
        <v>102</v>
      </c>
      <c r="C643" s="1">
        <v>45696</v>
      </c>
      <c r="E643">
        <v>2100</v>
      </c>
      <c r="F643" s="18">
        <v>2100</v>
      </c>
      <c r="I643" t="s">
        <v>631</v>
      </c>
      <c r="J643" s="21">
        <f>Table1[[#This Row],[interactions]]/Table1[[#This Row],[Attendance]]</f>
        <v>1</v>
      </c>
    </row>
    <row r="644" spans="1:10" x14ac:dyDescent="0.2">
      <c r="A644" t="s">
        <v>23</v>
      </c>
      <c r="B644" t="s">
        <v>1725</v>
      </c>
      <c r="C644" s="1">
        <v>45041</v>
      </c>
      <c r="D644" t="s">
        <v>1692</v>
      </c>
      <c r="E644">
        <v>12</v>
      </c>
      <c r="F644" s="18">
        <v>12</v>
      </c>
      <c r="G644" t="s">
        <v>1731</v>
      </c>
      <c r="H644" t="s">
        <v>1722</v>
      </c>
      <c r="I644" t="s">
        <v>631</v>
      </c>
      <c r="J644" s="21">
        <f>Table1[[#This Row],[interactions]]/Table1[[#This Row],[Attendance]]</f>
        <v>1</v>
      </c>
    </row>
    <row r="645" spans="1:10" x14ac:dyDescent="0.2">
      <c r="A645" t="s">
        <v>23</v>
      </c>
      <c r="B645" t="s">
        <v>1800</v>
      </c>
      <c r="C645" s="1">
        <v>45405</v>
      </c>
      <c r="D645" t="s">
        <v>1799</v>
      </c>
      <c r="E645">
        <v>40</v>
      </c>
      <c r="F645" s="18">
        <v>40</v>
      </c>
      <c r="H645" t="s">
        <v>1798</v>
      </c>
      <c r="I645" t="s">
        <v>631</v>
      </c>
      <c r="J645" s="21">
        <f>Table1[[#This Row],[interactions]]/Table1[[#This Row],[Attendance]]</f>
        <v>1</v>
      </c>
    </row>
    <row r="646" spans="1:10" x14ac:dyDescent="0.2">
      <c r="A646" t="s">
        <v>1767</v>
      </c>
      <c r="B646" t="s">
        <v>110</v>
      </c>
      <c r="C646" s="1">
        <v>44840</v>
      </c>
      <c r="D646" t="s">
        <v>109</v>
      </c>
      <c r="E646">
        <v>8</v>
      </c>
      <c r="F646" s="18">
        <v>8</v>
      </c>
      <c r="G646" t="s">
        <v>108</v>
      </c>
      <c r="H646" t="s">
        <v>10</v>
      </c>
      <c r="I646" t="s">
        <v>631</v>
      </c>
      <c r="J646" s="21">
        <f>Table1[[#This Row],[interactions]]/Table1[[#This Row],[Attendance]]</f>
        <v>1</v>
      </c>
    </row>
    <row r="647" spans="1:10" x14ac:dyDescent="0.2">
      <c r="A647" t="s">
        <v>1767</v>
      </c>
      <c r="B647" t="s">
        <v>1674</v>
      </c>
      <c r="C647" s="1">
        <v>45246</v>
      </c>
      <c r="D647" t="s">
        <v>1672</v>
      </c>
      <c r="E647">
        <v>35</v>
      </c>
      <c r="F647" s="18">
        <v>35</v>
      </c>
      <c r="H647" t="s">
        <v>1671</v>
      </c>
      <c r="I647" t="s">
        <v>631</v>
      </c>
      <c r="J647" s="21">
        <f>Table1[[#This Row],[interactions]]/Table1[[#This Row],[Attendance]]</f>
        <v>1</v>
      </c>
    </row>
    <row r="648" spans="1:10" x14ac:dyDescent="0.2">
      <c r="A648" t="s">
        <v>1767</v>
      </c>
      <c r="B648" t="s">
        <v>1673</v>
      </c>
      <c r="C648" s="1">
        <v>45247</v>
      </c>
      <c r="D648" t="s">
        <v>1672</v>
      </c>
      <c r="E648">
        <v>80</v>
      </c>
      <c r="F648" s="18">
        <v>80</v>
      </c>
      <c r="H648" t="s">
        <v>1671</v>
      </c>
      <c r="I648" t="s">
        <v>631</v>
      </c>
      <c r="J648" s="21">
        <f>Table1[[#This Row],[interactions]]/Table1[[#This Row],[Attendance]]</f>
        <v>1</v>
      </c>
    </row>
    <row r="649" spans="1:10" x14ac:dyDescent="0.2">
      <c r="A649" t="s">
        <v>1767</v>
      </c>
      <c r="B649" t="s">
        <v>1777</v>
      </c>
      <c r="C649" s="1">
        <v>45484</v>
      </c>
      <c r="E649">
        <v>100</v>
      </c>
      <c r="F649" s="18">
        <v>100</v>
      </c>
      <c r="G649" t="s">
        <v>1776</v>
      </c>
      <c r="H649" t="s">
        <v>1763</v>
      </c>
      <c r="I649" t="s">
        <v>631</v>
      </c>
      <c r="J649" s="21">
        <f>Table1[[#This Row],[interactions]]/Table1[[#This Row],[Attendance]]</f>
        <v>1</v>
      </c>
    </row>
    <row r="650" spans="1:10" x14ac:dyDescent="0.2">
      <c r="A650" t="s">
        <v>1767</v>
      </c>
      <c r="B650" t="s">
        <v>1873</v>
      </c>
      <c r="C650" s="1">
        <v>45799</v>
      </c>
      <c r="D650" t="s">
        <v>1872</v>
      </c>
      <c r="E650">
        <v>125</v>
      </c>
      <c r="F650" s="18">
        <v>125</v>
      </c>
      <c r="H650" t="s">
        <v>1409</v>
      </c>
      <c r="I650" t="s">
        <v>631</v>
      </c>
      <c r="J650" s="21">
        <f>Table1[[#This Row],[interactions]]/Table1[[#This Row],[Attendance]]</f>
        <v>1</v>
      </c>
    </row>
    <row r="651" spans="1:10" x14ac:dyDescent="0.2">
      <c r="A651" t="s">
        <v>1767</v>
      </c>
      <c r="B651" t="s">
        <v>1859</v>
      </c>
      <c r="C651" s="1">
        <v>45847</v>
      </c>
      <c r="D651" t="s">
        <v>1858</v>
      </c>
      <c r="E651">
        <v>150</v>
      </c>
      <c r="F651" s="18">
        <v>150</v>
      </c>
      <c r="H651" t="s">
        <v>1409</v>
      </c>
      <c r="I651" t="s">
        <v>631</v>
      </c>
      <c r="J651" s="21">
        <f>Table1[[#This Row],[interactions]]/Table1[[#This Row],[Attendance]]</f>
        <v>1</v>
      </c>
    </row>
    <row r="652" spans="1:10" x14ac:dyDescent="0.2">
      <c r="A652" t="s">
        <v>1767</v>
      </c>
      <c r="B652" t="s">
        <v>1861</v>
      </c>
      <c r="C652" s="1">
        <v>45846</v>
      </c>
      <c r="D652" t="s">
        <v>1860</v>
      </c>
      <c r="E652">
        <v>150</v>
      </c>
      <c r="F652" s="18">
        <v>150</v>
      </c>
      <c r="H652" t="s">
        <v>621</v>
      </c>
      <c r="I652" t="s">
        <v>631</v>
      </c>
      <c r="J652" s="21">
        <f>Table1[[#This Row],[interactions]]/Table1[[#This Row],[Attendance]]</f>
        <v>1</v>
      </c>
    </row>
    <row r="653" spans="1:10" x14ac:dyDescent="0.2">
      <c r="A653" s="15" t="s">
        <v>1767</v>
      </c>
      <c r="B653" t="s">
        <v>1863</v>
      </c>
      <c r="C653" s="1">
        <v>45842</v>
      </c>
      <c r="D653" t="s">
        <v>1862</v>
      </c>
      <c r="E653">
        <v>150</v>
      </c>
      <c r="F653" s="18">
        <v>150</v>
      </c>
      <c r="H653" t="s">
        <v>649</v>
      </c>
      <c r="I653" t="s">
        <v>631</v>
      </c>
      <c r="J653" s="21">
        <f>Table1[[#This Row],[interactions]]/Table1[[#This Row],[Attendance]]</f>
        <v>1</v>
      </c>
    </row>
    <row r="654" spans="1:10" x14ac:dyDescent="0.2">
      <c r="A654" t="s">
        <v>1767</v>
      </c>
      <c r="B654" t="s">
        <v>1865</v>
      </c>
      <c r="C654" s="1">
        <v>45813</v>
      </c>
      <c r="D654" t="s">
        <v>1864</v>
      </c>
      <c r="E654">
        <v>150</v>
      </c>
      <c r="F654" s="18">
        <v>150</v>
      </c>
      <c r="H654" t="s">
        <v>608</v>
      </c>
      <c r="I654" t="s">
        <v>631</v>
      </c>
      <c r="J654" s="21">
        <f>Table1[[#This Row],[interactions]]/Table1[[#This Row],[Attendance]]</f>
        <v>1</v>
      </c>
    </row>
    <row r="655" spans="1:10" x14ac:dyDescent="0.2">
      <c r="A655" t="s">
        <v>1767</v>
      </c>
      <c r="B655" t="s">
        <v>1787</v>
      </c>
      <c r="C655" s="1">
        <v>45447</v>
      </c>
      <c r="E655">
        <v>160</v>
      </c>
      <c r="F655" s="18">
        <v>160</v>
      </c>
      <c r="G655" t="s">
        <v>1786</v>
      </c>
      <c r="I655" t="s">
        <v>631</v>
      </c>
      <c r="J655" s="21">
        <f>Table1[[#This Row],[interactions]]/Table1[[#This Row],[Attendance]]</f>
        <v>1</v>
      </c>
    </row>
    <row r="656" spans="1:10" x14ac:dyDescent="0.2">
      <c r="A656" t="s">
        <v>1767</v>
      </c>
      <c r="B656" t="s">
        <v>1790</v>
      </c>
      <c r="C656" s="1">
        <v>45429</v>
      </c>
      <c r="E656">
        <v>60</v>
      </c>
      <c r="F656" s="18">
        <v>60</v>
      </c>
      <c r="H656" t="s">
        <v>685</v>
      </c>
      <c r="I656" t="s">
        <v>631</v>
      </c>
      <c r="J656" s="21">
        <f>Table1[[#This Row],[interactions]]/Table1[[#This Row],[Attendance]]</f>
        <v>1</v>
      </c>
    </row>
    <row r="657" spans="1:10" x14ac:dyDescent="0.2">
      <c r="A657" t="s">
        <v>1767</v>
      </c>
      <c r="B657" t="s">
        <v>1813</v>
      </c>
      <c r="C657" s="1">
        <v>44296</v>
      </c>
      <c r="D657" t="s">
        <v>1812</v>
      </c>
      <c r="E657">
        <v>75</v>
      </c>
      <c r="F657" s="18">
        <v>75</v>
      </c>
      <c r="G657" t="s">
        <v>1809</v>
      </c>
      <c r="H657" t="s">
        <v>685</v>
      </c>
      <c r="I657" t="s">
        <v>631</v>
      </c>
      <c r="J657" s="21">
        <f>Table1[[#This Row],[interactions]]/Table1[[#This Row],[Attendance]]</f>
        <v>1</v>
      </c>
    </row>
    <row r="658" spans="1:10" x14ac:dyDescent="0.2">
      <c r="A658" t="s">
        <v>1767</v>
      </c>
      <c r="B658" t="s">
        <v>1811</v>
      </c>
      <c r="C658" s="1">
        <v>44296</v>
      </c>
      <c r="D658" t="s">
        <v>1810</v>
      </c>
      <c r="E658">
        <v>75</v>
      </c>
      <c r="F658" s="18">
        <v>75</v>
      </c>
      <c r="G658" t="s">
        <v>1809</v>
      </c>
      <c r="H658" t="s">
        <v>685</v>
      </c>
      <c r="I658" t="s">
        <v>631</v>
      </c>
      <c r="J658" s="21">
        <f>Table1[[#This Row],[interactions]]/Table1[[#This Row],[Attendance]]</f>
        <v>1</v>
      </c>
    </row>
    <row r="659" spans="1:10" x14ac:dyDescent="0.2">
      <c r="A659" t="s">
        <v>1767</v>
      </c>
      <c r="B659" t="s">
        <v>1808</v>
      </c>
      <c r="C659" s="1">
        <v>44296</v>
      </c>
      <c r="D659" t="s">
        <v>1807</v>
      </c>
      <c r="E659">
        <v>150</v>
      </c>
      <c r="F659" s="18">
        <v>150</v>
      </c>
      <c r="G659" t="s">
        <v>1806</v>
      </c>
      <c r="H659" t="s">
        <v>1805</v>
      </c>
      <c r="I659" t="s">
        <v>631</v>
      </c>
      <c r="J659" s="21">
        <f>Table1[[#This Row],[interactions]]/Table1[[#This Row],[Attendance]]</f>
        <v>1</v>
      </c>
    </row>
    <row r="660" spans="1:10" x14ac:dyDescent="0.2">
      <c r="A660" t="s">
        <v>1804</v>
      </c>
      <c r="B660" t="s">
        <v>1803</v>
      </c>
      <c r="C660" s="1">
        <v>45404</v>
      </c>
      <c r="D660" t="s">
        <v>1802</v>
      </c>
      <c r="E660">
        <v>60</v>
      </c>
      <c r="F660" s="18">
        <v>60</v>
      </c>
      <c r="G660" t="s">
        <v>1801</v>
      </c>
      <c r="H660" t="s">
        <v>685</v>
      </c>
      <c r="I660" t="s">
        <v>631</v>
      </c>
      <c r="J660" s="21">
        <f>Table1[[#This Row],[interactions]]/Table1[[#This Row],[Attendance]]</f>
        <v>1</v>
      </c>
    </row>
    <row r="661" spans="1:10" x14ac:dyDescent="0.2">
      <c r="A661" t="s">
        <v>1804</v>
      </c>
      <c r="B661" t="s">
        <v>1746</v>
      </c>
      <c r="C661" s="1">
        <v>44988</v>
      </c>
      <c r="D661" t="s">
        <v>1745</v>
      </c>
      <c r="E661">
        <v>65</v>
      </c>
      <c r="F661" s="18">
        <v>65</v>
      </c>
      <c r="G661" t="s">
        <v>1744</v>
      </c>
      <c r="H661" t="s">
        <v>498</v>
      </c>
      <c r="I661" t="s">
        <v>631</v>
      </c>
      <c r="J661" s="21">
        <f>Table1[[#This Row],[interactions]]/Table1[[#This Row],[Attendance]]</f>
        <v>1</v>
      </c>
    </row>
    <row r="662" spans="1:10" x14ac:dyDescent="0.2">
      <c r="A662" s="15" t="s">
        <v>1804</v>
      </c>
      <c r="B662" t="s">
        <v>1869</v>
      </c>
      <c r="C662" s="1">
        <v>45807</v>
      </c>
      <c r="D662" t="s">
        <v>1868</v>
      </c>
      <c r="E662">
        <v>12</v>
      </c>
      <c r="F662" s="18">
        <v>12</v>
      </c>
      <c r="H662" t="s">
        <v>649</v>
      </c>
      <c r="I662" t="s">
        <v>631</v>
      </c>
      <c r="J662" s="21">
        <f>Table1[[#This Row],[interactions]]/Table1[[#This Row],[Attendance]]</f>
        <v>1</v>
      </c>
    </row>
    <row r="663" spans="1:10" x14ac:dyDescent="0.2">
      <c r="A663" s="15" t="s">
        <v>1804</v>
      </c>
      <c r="B663" t="s">
        <v>1869</v>
      </c>
      <c r="C663" s="1">
        <v>45804</v>
      </c>
      <c r="D663" t="s">
        <v>1868</v>
      </c>
      <c r="E663">
        <v>15</v>
      </c>
      <c r="F663" s="18">
        <v>15</v>
      </c>
      <c r="H663" t="s">
        <v>608</v>
      </c>
      <c r="I663" t="s">
        <v>631</v>
      </c>
      <c r="J663" s="21">
        <f>Table1[[#This Row],[interactions]]/Table1[[#This Row],[Attendance]]</f>
        <v>1</v>
      </c>
    </row>
    <row r="664" spans="1:10" x14ac:dyDescent="0.2">
      <c r="A664" s="15" t="s">
        <v>366</v>
      </c>
      <c r="B664" t="s">
        <v>783</v>
      </c>
      <c r="C664" s="1">
        <v>45568</v>
      </c>
      <c r="D664" t="s">
        <v>217</v>
      </c>
      <c r="E664">
        <v>10</v>
      </c>
      <c r="F664" s="18">
        <v>10</v>
      </c>
      <c r="I664" t="s">
        <v>607</v>
      </c>
      <c r="J664" s="21">
        <f>Table1[[#This Row],[interactions]]/Table1[[#This Row],[Attendance]]</f>
        <v>1</v>
      </c>
    </row>
    <row r="665" spans="1:10" x14ac:dyDescent="0.2">
      <c r="A665" t="s">
        <v>366</v>
      </c>
      <c r="B665" t="s">
        <v>783</v>
      </c>
      <c r="C665" s="1">
        <v>45561</v>
      </c>
      <c r="D665" t="s">
        <v>217</v>
      </c>
      <c r="E665">
        <v>10</v>
      </c>
      <c r="F665" s="18">
        <v>10</v>
      </c>
      <c r="G665" t="s">
        <v>798</v>
      </c>
      <c r="H665" t="s">
        <v>797</v>
      </c>
      <c r="I665" t="s">
        <v>607</v>
      </c>
      <c r="J665" s="21">
        <f>Table1[[#This Row],[interactions]]/Table1[[#This Row],[Attendance]]</f>
        <v>1</v>
      </c>
    </row>
    <row r="666" spans="1:10" x14ac:dyDescent="0.2">
      <c r="A666" t="s">
        <v>366</v>
      </c>
      <c r="B666" t="s">
        <v>1411</v>
      </c>
      <c r="C666" s="1">
        <v>45950</v>
      </c>
      <c r="D666" t="s">
        <v>366</v>
      </c>
      <c r="E666">
        <v>12</v>
      </c>
      <c r="F666" s="18">
        <v>12</v>
      </c>
      <c r="H666" t="s">
        <v>621</v>
      </c>
      <c r="I666" t="s">
        <v>625</v>
      </c>
      <c r="J666" s="21">
        <f>Table1[[#This Row],[interactions]]/Table1[[#This Row],[Attendance]]</f>
        <v>1</v>
      </c>
    </row>
    <row r="667" spans="1:10" x14ac:dyDescent="0.2">
      <c r="A667" s="16" t="s">
        <v>366</v>
      </c>
      <c r="B667" t="s">
        <v>1665</v>
      </c>
      <c r="C667" s="1">
        <v>45666</v>
      </c>
      <c r="D667" t="s">
        <v>217</v>
      </c>
      <c r="E667">
        <v>15</v>
      </c>
      <c r="F667" s="18">
        <v>15</v>
      </c>
      <c r="G667" t="s">
        <v>1664</v>
      </c>
      <c r="H667" t="s">
        <v>608</v>
      </c>
      <c r="I667" t="s">
        <v>679</v>
      </c>
      <c r="J667" s="21">
        <f>Table1[[#This Row],[interactions]]/Table1[[#This Row],[Attendance]]</f>
        <v>1</v>
      </c>
    </row>
    <row r="668" spans="1:10" x14ac:dyDescent="0.2">
      <c r="A668" s="15" t="s">
        <v>366</v>
      </c>
      <c r="B668" t="s">
        <v>863</v>
      </c>
      <c r="C668" s="1">
        <v>45548</v>
      </c>
      <c r="D668" t="s">
        <v>237</v>
      </c>
      <c r="E668">
        <v>15</v>
      </c>
      <c r="F668" s="18">
        <v>15</v>
      </c>
      <c r="G668" t="s">
        <v>862</v>
      </c>
      <c r="H668" t="s">
        <v>861</v>
      </c>
      <c r="I668" t="s">
        <v>593</v>
      </c>
      <c r="J668" s="21">
        <f>Table1[[#This Row],[interactions]]/Table1[[#This Row],[Attendance]]</f>
        <v>1</v>
      </c>
    </row>
    <row r="669" spans="1:10" x14ac:dyDescent="0.2">
      <c r="A669" t="s">
        <v>366</v>
      </c>
      <c r="B669" t="s">
        <v>145</v>
      </c>
      <c r="C669" s="1">
        <v>45261</v>
      </c>
      <c r="D669" t="s">
        <v>237</v>
      </c>
      <c r="E669">
        <v>15</v>
      </c>
      <c r="F669" s="18">
        <v>15</v>
      </c>
      <c r="G669" t="s">
        <v>250</v>
      </c>
      <c r="H669" t="s">
        <v>215</v>
      </c>
      <c r="I669" t="s">
        <v>631</v>
      </c>
      <c r="J669" s="21">
        <f>Table1[[#This Row],[interactions]]/Table1[[#This Row],[Attendance]]</f>
        <v>1</v>
      </c>
    </row>
    <row r="670" spans="1:10" x14ac:dyDescent="0.2">
      <c r="A670" s="17" t="s">
        <v>366</v>
      </c>
      <c r="B670" t="s">
        <v>308</v>
      </c>
      <c r="C670" s="1">
        <v>45210</v>
      </c>
      <c r="D670" t="s">
        <v>217</v>
      </c>
      <c r="E670">
        <v>15</v>
      </c>
      <c r="F670" s="18">
        <v>15</v>
      </c>
      <c r="G670" t="s">
        <v>307</v>
      </c>
      <c r="H670" t="s">
        <v>229</v>
      </c>
      <c r="I670" t="s">
        <v>631</v>
      </c>
      <c r="J670" s="21">
        <f>Table1[[#This Row],[interactions]]/Table1[[#This Row],[Attendance]]</f>
        <v>1</v>
      </c>
    </row>
    <row r="671" spans="1:10" x14ac:dyDescent="0.2">
      <c r="A671" t="s">
        <v>366</v>
      </c>
      <c r="B671" t="s">
        <v>339</v>
      </c>
      <c r="C671" s="1">
        <v>44971</v>
      </c>
      <c r="D671" t="s">
        <v>366</v>
      </c>
      <c r="E671">
        <v>15</v>
      </c>
      <c r="F671" s="18">
        <v>15</v>
      </c>
      <c r="G671" t="s">
        <v>1376</v>
      </c>
      <c r="H671" t="s">
        <v>1208</v>
      </c>
      <c r="J671" s="21">
        <f>Table1[[#This Row],[interactions]]/Table1[[#This Row],[Attendance]]</f>
        <v>1</v>
      </c>
    </row>
    <row r="672" spans="1:10" x14ac:dyDescent="0.2">
      <c r="A672" s="17" t="s">
        <v>366</v>
      </c>
      <c r="B672" t="s">
        <v>319</v>
      </c>
      <c r="C672" s="1">
        <v>45203</v>
      </c>
      <c r="D672" t="s">
        <v>217</v>
      </c>
      <c r="E672">
        <v>18</v>
      </c>
      <c r="F672" s="18">
        <v>18</v>
      </c>
      <c r="G672" t="s">
        <v>318</v>
      </c>
      <c r="H672" t="s">
        <v>229</v>
      </c>
      <c r="I672" t="s">
        <v>631</v>
      </c>
      <c r="J672" s="21">
        <f>Table1[[#This Row],[interactions]]/Table1[[#This Row],[Attendance]]</f>
        <v>1</v>
      </c>
    </row>
    <row r="673" spans="1:10" x14ac:dyDescent="0.2">
      <c r="A673" s="17" t="s">
        <v>366</v>
      </c>
      <c r="B673" t="s">
        <v>339</v>
      </c>
      <c r="C673" s="1">
        <v>45189</v>
      </c>
      <c r="D673" t="s">
        <v>217</v>
      </c>
      <c r="E673">
        <v>18</v>
      </c>
      <c r="F673" s="18">
        <v>18</v>
      </c>
      <c r="G673" t="s">
        <v>318</v>
      </c>
      <c r="H673" t="s">
        <v>229</v>
      </c>
      <c r="I673" t="s">
        <v>631</v>
      </c>
      <c r="J673" s="21">
        <f>Table1[[#This Row],[interactions]]/Table1[[#This Row],[Attendance]]</f>
        <v>1</v>
      </c>
    </row>
    <row r="674" spans="1:10" x14ac:dyDescent="0.2">
      <c r="A674" t="s">
        <v>366</v>
      </c>
      <c r="B674" t="s">
        <v>828</v>
      </c>
      <c r="C674" s="1">
        <v>45554</v>
      </c>
      <c r="D674" t="s">
        <v>217</v>
      </c>
      <c r="E674">
        <v>20</v>
      </c>
      <c r="F674" s="18">
        <v>20</v>
      </c>
      <c r="G674" t="s">
        <v>827</v>
      </c>
      <c r="H674" t="s">
        <v>797</v>
      </c>
      <c r="I674" t="s">
        <v>607</v>
      </c>
      <c r="J674" s="21">
        <f>Table1[[#This Row],[interactions]]/Table1[[#This Row],[Attendance]]</f>
        <v>1</v>
      </c>
    </row>
    <row r="675" spans="1:10" x14ac:dyDescent="0.2">
      <c r="A675" t="s">
        <v>366</v>
      </c>
      <c r="B675" t="s">
        <v>887</v>
      </c>
      <c r="C675" s="1">
        <v>45540</v>
      </c>
      <c r="D675" t="s">
        <v>217</v>
      </c>
      <c r="E675">
        <v>20</v>
      </c>
      <c r="F675" s="18">
        <v>20</v>
      </c>
      <c r="G675" t="s">
        <v>886</v>
      </c>
      <c r="H675" t="s">
        <v>797</v>
      </c>
      <c r="I675" t="s">
        <v>607</v>
      </c>
      <c r="J675" s="21">
        <f>Table1[[#This Row],[interactions]]/Table1[[#This Row],[Attendance]]</f>
        <v>1</v>
      </c>
    </row>
    <row r="676" spans="1:10" x14ac:dyDescent="0.2">
      <c r="A676" s="17" t="s">
        <v>366</v>
      </c>
      <c r="B676" t="s">
        <v>1264</v>
      </c>
      <c r="C676" s="1">
        <v>45385</v>
      </c>
      <c r="D676" t="s">
        <v>366</v>
      </c>
      <c r="E676">
        <v>20</v>
      </c>
      <c r="F676" s="18">
        <v>20</v>
      </c>
      <c r="G676" t="s">
        <v>1263</v>
      </c>
      <c r="H676" t="s">
        <v>1093</v>
      </c>
      <c r="J676" s="21">
        <f>Table1[[#This Row],[interactions]]/Table1[[#This Row],[Attendance]]</f>
        <v>1</v>
      </c>
    </row>
    <row r="677" spans="1:10" x14ac:dyDescent="0.2">
      <c r="A677" s="17" t="s">
        <v>366</v>
      </c>
      <c r="B677" t="s">
        <v>1339</v>
      </c>
      <c r="C677" s="1">
        <v>45331</v>
      </c>
      <c r="D677" t="s">
        <v>366</v>
      </c>
      <c r="E677">
        <v>20</v>
      </c>
      <c r="F677" s="18">
        <v>20</v>
      </c>
      <c r="G677" t="s">
        <v>1338</v>
      </c>
      <c r="H677" t="s">
        <v>1208</v>
      </c>
      <c r="J677" s="21">
        <f>Table1[[#This Row],[interactions]]/Table1[[#This Row],[Attendance]]</f>
        <v>1</v>
      </c>
    </row>
    <row r="678" spans="1:10" x14ac:dyDescent="0.2">
      <c r="A678" s="17" t="s">
        <v>366</v>
      </c>
      <c r="B678" t="s">
        <v>964</v>
      </c>
      <c r="C678" s="1">
        <v>45511</v>
      </c>
      <c r="D678" t="s">
        <v>217</v>
      </c>
      <c r="E678">
        <v>25</v>
      </c>
      <c r="F678" s="18">
        <v>25</v>
      </c>
      <c r="G678" t="s">
        <v>963</v>
      </c>
      <c r="H678" t="s">
        <v>797</v>
      </c>
      <c r="I678" t="s">
        <v>607</v>
      </c>
      <c r="J678" s="21">
        <f>Table1[[#This Row],[interactions]]/Table1[[#This Row],[Attendance]]</f>
        <v>1</v>
      </c>
    </row>
    <row r="679" spans="1:10" x14ac:dyDescent="0.2">
      <c r="A679" s="15" t="s">
        <v>366</v>
      </c>
      <c r="B679" t="s">
        <v>1078</v>
      </c>
      <c r="C679" s="1">
        <v>45462</v>
      </c>
      <c r="D679" t="s">
        <v>217</v>
      </c>
      <c r="E679">
        <v>25</v>
      </c>
      <c r="F679" s="18">
        <v>25</v>
      </c>
      <c r="G679" t="s">
        <v>1055</v>
      </c>
      <c r="H679" t="s">
        <v>612</v>
      </c>
      <c r="J679" s="21">
        <f>Table1[[#This Row],[interactions]]/Table1[[#This Row],[Attendance]]</f>
        <v>1</v>
      </c>
    </row>
    <row r="680" spans="1:10" x14ac:dyDescent="0.2">
      <c r="A680" t="s">
        <v>366</v>
      </c>
      <c r="B680" t="s">
        <v>1394</v>
      </c>
      <c r="C680" s="1">
        <v>45939</v>
      </c>
      <c r="D680" t="s">
        <v>366</v>
      </c>
      <c r="E680">
        <v>26</v>
      </c>
      <c r="F680" s="18">
        <v>26</v>
      </c>
      <c r="H680" t="s">
        <v>1392</v>
      </c>
      <c r="I680" t="s">
        <v>690</v>
      </c>
      <c r="J680" s="21">
        <f>Table1[[#This Row],[interactions]]/Table1[[#This Row],[Attendance]]</f>
        <v>1</v>
      </c>
    </row>
    <row r="681" spans="1:10" x14ac:dyDescent="0.2">
      <c r="A681" s="17" t="s">
        <v>366</v>
      </c>
      <c r="B681" t="s">
        <v>1466</v>
      </c>
      <c r="C681" s="1">
        <v>45916</v>
      </c>
      <c r="D681" t="s">
        <v>217</v>
      </c>
      <c r="E681">
        <v>28</v>
      </c>
      <c r="F681" s="18">
        <v>28</v>
      </c>
      <c r="H681" t="s">
        <v>1409</v>
      </c>
      <c r="I681" t="s">
        <v>1467</v>
      </c>
      <c r="J681" s="21">
        <f>Table1[[#This Row],[interactions]]/Table1[[#This Row],[Attendance]]</f>
        <v>1</v>
      </c>
    </row>
    <row r="682" spans="1:10" x14ac:dyDescent="0.2">
      <c r="A682" s="17" t="s">
        <v>366</v>
      </c>
      <c r="B682" t="s">
        <v>1529</v>
      </c>
      <c r="C682" s="1">
        <v>45854</v>
      </c>
      <c r="D682" t="s">
        <v>217</v>
      </c>
      <c r="E682">
        <v>28</v>
      </c>
      <c r="F682" s="18">
        <v>28</v>
      </c>
      <c r="H682" t="s">
        <v>1409</v>
      </c>
      <c r="I682" t="s">
        <v>1417</v>
      </c>
      <c r="J682" s="21">
        <f>Table1[[#This Row],[interactions]]/Table1[[#This Row],[Attendance]]</f>
        <v>1</v>
      </c>
    </row>
    <row r="683" spans="1:10" x14ac:dyDescent="0.2">
      <c r="A683" t="s">
        <v>366</v>
      </c>
      <c r="B683" t="s">
        <v>508</v>
      </c>
      <c r="C683" s="1">
        <v>44974</v>
      </c>
      <c r="D683" t="s">
        <v>217</v>
      </c>
      <c r="E683">
        <v>30</v>
      </c>
      <c r="F683" s="18">
        <v>30</v>
      </c>
      <c r="G683" t="s">
        <v>537</v>
      </c>
      <c r="H683" t="s">
        <v>525</v>
      </c>
      <c r="I683" t="s">
        <v>631</v>
      </c>
      <c r="J683" s="21">
        <f>Table1[[#This Row],[interactions]]/Table1[[#This Row],[Attendance]]</f>
        <v>1</v>
      </c>
    </row>
    <row r="684" spans="1:10" x14ac:dyDescent="0.2">
      <c r="A684" s="17" t="s">
        <v>366</v>
      </c>
      <c r="B684" t="s">
        <v>981</v>
      </c>
      <c r="C684" s="1">
        <v>45506</v>
      </c>
      <c r="D684" t="s">
        <v>217</v>
      </c>
      <c r="E684">
        <v>32</v>
      </c>
      <c r="F684" s="18">
        <v>32</v>
      </c>
      <c r="G684" t="s">
        <v>980</v>
      </c>
      <c r="H684" t="s">
        <v>608</v>
      </c>
      <c r="I684" t="s">
        <v>697</v>
      </c>
      <c r="J684" s="21">
        <f>Table1[[#This Row],[interactions]]/Table1[[#This Row],[Attendance]]</f>
        <v>1</v>
      </c>
    </row>
    <row r="685" spans="1:10" x14ac:dyDescent="0.2">
      <c r="A685" t="s">
        <v>366</v>
      </c>
      <c r="B685" t="s">
        <v>1568</v>
      </c>
      <c r="C685" s="1">
        <v>45728</v>
      </c>
      <c r="D685" t="s">
        <v>366</v>
      </c>
      <c r="E685">
        <v>35</v>
      </c>
      <c r="F685" s="18">
        <v>35</v>
      </c>
      <c r="H685" t="s">
        <v>1409</v>
      </c>
      <c r="I685" t="s">
        <v>657</v>
      </c>
      <c r="J685" s="21">
        <f>Table1[[#This Row],[interactions]]/Table1[[#This Row],[Attendance]]</f>
        <v>1</v>
      </c>
    </row>
    <row r="686" spans="1:10" x14ac:dyDescent="0.2">
      <c r="A686" t="s">
        <v>366</v>
      </c>
      <c r="B686" t="s">
        <v>508</v>
      </c>
      <c r="C686" s="1">
        <v>45002</v>
      </c>
      <c r="D686" t="s">
        <v>366</v>
      </c>
      <c r="E686">
        <v>35</v>
      </c>
      <c r="F686" s="18">
        <v>35</v>
      </c>
      <c r="G686" t="s">
        <v>507</v>
      </c>
      <c r="H686" t="s">
        <v>490</v>
      </c>
      <c r="I686" t="s">
        <v>631</v>
      </c>
      <c r="J686" s="21">
        <f>Table1[[#This Row],[interactions]]/Table1[[#This Row],[Attendance]]</f>
        <v>1</v>
      </c>
    </row>
    <row r="687" spans="1:10" x14ac:dyDescent="0.2">
      <c r="A687" s="17" t="s">
        <v>366</v>
      </c>
      <c r="B687" t="s">
        <v>689</v>
      </c>
      <c r="C687" s="1">
        <v>45610</v>
      </c>
      <c r="D687" t="s">
        <v>366</v>
      </c>
      <c r="E687">
        <v>40</v>
      </c>
      <c r="F687" s="18">
        <v>40</v>
      </c>
      <c r="G687" t="s">
        <v>688</v>
      </c>
      <c r="H687" t="s">
        <v>612</v>
      </c>
      <c r="I687" t="s">
        <v>690</v>
      </c>
      <c r="J687" s="21">
        <f>Table1[[#This Row],[interactions]]/Table1[[#This Row],[Attendance]]</f>
        <v>1</v>
      </c>
    </row>
    <row r="688" spans="1:10" x14ac:dyDescent="0.2">
      <c r="A688" t="s">
        <v>366</v>
      </c>
      <c r="B688" t="s">
        <v>444</v>
      </c>
      <c r="C688" s="1">
        <v>44992</v>
      </c>
      <c r="D688" t="s">
        <v>366</v>
      </c>
      <c r="E688">
        <v>40</v>
      </c>
      <c r="F688" s="18">
        <v>40</v>
      </c>
      <c r="G688" t="s">
        <v>516</v>
      </c>
      <c r="H688" t="s">
        <v>215</v>
      </c>
      <c r="I688" t="s">
        <v>631</v>
      </c>
      <c r="J688" s="21">
        <f>Table1[[#This Row],[interactions]]/Table1[[#This Row],[Attendance]]</f>
        <v>1</v>
      </c>
    </row>
    <row r="689" spans="1:10" x14ac:dyDescent="0.2">
      <c r="A689" s="17" t="s">
        <v>366</v>
      </c>
      <c r="B689" t="s">
        <v>1470</v>
      </c>
      <c r="C689" s="1">
        <v>45911</v>
      </c>
      <c r="D689" t="s">
        <v>366</v>
      </c>
      <c r="E689">
        <v>41</v>
      </c>
      <c r="F689" s="18">
        <v>41</v>
      </c>
      <c r="H689" t="s">
        <v>1392</v>
      </c>
      <c r="I689" t="s">
        <v>690</v>
      </c>
      <c r="J689" s="21">
        <f>Table1[[#This Row],[interactions]]/Table1[[#This Row],[Attendance]]</f>
        <v>1</v>
      </c>
    </row>
    <row r="690" spans="1:10" x14ac:dyDescent="0.2">
      <c r="A690" s="17" t="s">
        <v>366</v>
      </c>
      <c r="B690" t="s">
        <v>322</v>
      </c>
      <c r="C690" s="1">
        <v>45202</v>
      </c>
      <c r="D690" t="s">
        <v>217</v>
      </c>
      <c r="E690">
        <v>42</v>
      </c>
      <c r="F690" s="18">
        <v>42</v>
      </c>
      <c r="G690" t="s">
        <v>321</v>
      </c>
      <c r="H690" t="s">
        <v>229</v>
      </c>
      <c r="I690" t="s">
        <v>631</v>
      </c>
      <c r="J690" s="21">
        <f>Table1[[#This Row],[interactions]]/Table1[[#This Row],[Attendance]]</f>
        <v>1</v>
      </c>
    </row>
    <row r="691" spans="1:10" x14ac:dyDescent="0.2">
      <c r="A691" s="17" t="s">
        <v>366</v>
      </c>
      <c r="B691" t="s">
        <v>1511</v>
      </c>
      <c r="C691" s="1">
        <v>45883</v>
      </c>
      <c r="D691" t="s">
        <v>217</v>
      </c>
      <c r="E691">
        <v>43</v>
      </c>
      <c r="F691" s="18">
        <v>43</v>
      </c>
      <c r="H691" t="s">
        <v>1476</v>
      </c>
      <c r="I691" t="s">
        <v>690</v>
      </c>
      <c r="J691" s="21">
        <f>Table1[[#This Row],[interactions]]/Table1[[#This Row],[Attendance]]</f>
        <v>1</v>
      </c>
    </row>
    <row r="692" spans="1:10" x14ac:dyDescent="0.2">
      <c r="A692" t="s">
        <v>366</v>
      </c>
      <c r="B692" t="s">
        <v>1452</v>
      </c>
      <c r="C692" s="1">
        <v>45923</v>
      </c>
      <c r="D692" t="s">
        <v>366</v>
      </c>
      <c r="E692">
        <v>45</v>
      </c>
      <c r="F692" s="18">
        <v>45</v>
      </c>
      <c r="H692" t="s">
        <v>621</v>
      </c>
      <c r="I692" t="s">
        <v>623</v>
      </c>
      <c r="J692" s="21">
        <f>Table1[[#This Row],[interactions]]/Table1[[#This Row],[Attendance]]</f>
        <v>1</v>
      </c>
    </row>
    <row r="693" spans="1:10" x14ac:dyDescent="0.2">
      <c r="A693" t="s">
        <v>366</v>
      </c>
      <c r="B693" t="s">
        <v>1452</v>
      </c>
      <c r="C693" s="1">
        <v>45916</v>
      </c>
      <c r="D693" t="s">
        <v>366</v>
      </c>
      <c r="E693">
        <v>45</v>
      </c>
      <c r="F693" s="18">
        <v>45</v>
      </c>
      <c r="H693" t="s">
        <v>621</v>
      </c>
      <c r="I693" t="s">
        <v>623</v>
      </c>
      <c r="J693" s="21">
        <f>Table1[[#This Row],[interactions]]/Table1[[#This Row],[Attendance]]</f>
        <v>1</v>
      </c>
    </row>
    <row r="694" spans="1:10" x14ac:dyDescent="0.2">
      <c r="A694" t="s">
        <v>366</v>
      </c>
      <c r="B694" t="s">
        <v>1022</v>
      </c>
      <c r="C694" s="1">
        <v>45491</v>
      </c>
      <c r="D694" t="s">
        <v>217</v>
      </c>
      <c r="E694">
        <v>50</v>
      </c>
      <c r="F694" s="18">
        <v>50</v>
      </c>
      <c r="H694" t="s">
        <v>608</v>
      </c>
      <c r="I694" t="s">
        <v>610</v>
      </c>
      <c r="J694" s="21">
        <f>Table1[[#This Row],[interactions]]/Table1[[#This Row],[Attendance]]</f>
        <v>1</v>
      </c>
    </row>
    <row r="695" spans="1:10" x14ac:dyDescent="0.2">
      <c r="A695" s="17" t="s">
        <v>366</v>
      </c>
      <c r="B695" t="s">
        <v>1335</v>
      </c>
      <c r="C695" s="1">
        <v>45337</v>
      </c>
      <c r="D695" t="s">
        <v>366</v>
      </c>
      <c r="E695">
        <v>50</v>
      </c>
      <c r="F695" s="18">
        <v>50</v>
      </c>
      <c r="G695" t="s">
        <v>1334</v>
      </c>
      <c r="H695" t="s">
        <v>1208</v>
      </c>
      <c r="J695" s="21">
        <f>Table1[[#This Row],[interactions]]/Table1[[#This Row],[Attendance]]</f>
        <v>1</v>
      </c>
    </row>
    <row r="696" spans="1:10" x14ac:dyDescent="0.2">
      <c r="A696" s="17" t="s">
        <v>366</v>
      </c>
      <c r="B696" t="s">
        <v>263</v>
      </c>
      <c r="C696" s="1">
        <v>45239</v>
      </c>
      <c r="D696" t="s">
        <v>217</v>
      </c>
      <c r="E696">
        <v>50</v>
      </c>
      <c r="F696" s="18">
        <v>50</v>
      </c>
      <c r="G696" t="s">
        <v>262</v>
      </c>
      <c r="H696" t="s">
        <v>229</v>
      </c>
      <c r="I696" t="s">
        <v>631</v>
      </c>
      <c r="J696" s="21">
        <f>Table1[[#This Row],[interactions]]/Table1[[#This Row],[Attendance]]</f>
        <v>1</v>
      </c>
    </row>
    <row r="697" spans="1:10" x14ac:dyDescent="0.2">
      <c r="A697" s="17" t="s">
        <v>366</v>
      </c>
      <c r="B697" t="s">
        <v>609</v>
      </c>
      <c r="C697" s="1">
        <v>45897</v>
      </c>
      <c r="D697" t="s">
        <v>217</v>
      </c>
      <c r="E697">
        <v>60</v>
      </c>
      <c r="F697" s="18">
        <v>60</v>
      </c>
      <c r="H697" t="s">
        <v>608</v>
      </c>
      <c r="I697" t="s">
        <v>610</v>
      </c>
      <c r="J697" s="21">
        <f>Table1[[#This Row],[interactions]]/Table1[[#This Row],[Attendance]]</f>
        <v>1</v>
      </c>
    </row>
    <row r="698" spans="1:10" x14ac:dyDescent="0.2">
      <c r="A698" s="17" t="s">
        <v>366</v>
      </c>
      <c r="B698" t="s">
        <v>1601</v>
      </c>
      <c r="C698" s="1">
        <v>45708</v>
      </c>
      <c r="D698" t="s">
        <v>217</v>
      </c>
      <c r="E698">
        <v>60</v>
      </c>
      <c r="F698" s="18">
        <v>60</v>
      </c>
      <c r="G698" t="s">
        <v>1635</v>
      </c>
      <c r="H698" t="s">
        <v>608</v>
      </c>
      <c r="I698" t="s">
        <v>610</v>
      </c>
      <c r="J698" s="21">
        <f>Table1[[#This Row],[interactions]]/Table1[[#This Row],[Attendance]]</f>
        <v>1</v>
      </c>
    </row>
    <row r="699" spans="1:10" x14ac:dyDescent="0.2">
      <c r="A699" s="17" t="s">
        <v>366</v>
      </c>
      <c r="B699" t="s">
        <v>692</v>
      </c>
      <c r="C699" s="1">
        <v>45925</v>
      </c>
      <c r="D699" t="s">
        <v>217</v>
      </c>
      <c r="E699">
        <v>70</v>
      </c>
      <c r="F699" s="18">
        <v>70</v>
      </c>
      <c r="H699" t="s">
        <v>608</v>
      </c>
      <c r="I699" t="s">
        <v>610</v>
      </c>
      <c r="J699" s="21">
        <f>Table1[[#This Row],[interactions]]/Table1[[#This Row],[Attendance]]</f>
        <v>1</v>
      </c>
    </row>
    <row r="700" spans="1:10" x14ac:dyDescent="0.2">
      <c r="A700" t="s">
        <v>366</v>
      </c>
      <c r="B700" t="s">
        <v>692</v>
      </c>
      <c r="C700" s="1">
        <v>45680</v>
      </c>
      <c r="D700" t="s">
        <v>366</v>
      </c>
      <c r="E700">
        <v>70</v>
      </c>
      <c r="F700" s="18">
        <v>70</v>
      </c>
      <c r="G700" t="s">
        <v>1644</v>
      </c>
      <c r="H700" t="s">
        <v>608</v>
      </c>
      <c r="I700" t="s">
        <v>610</v>
      </c>
      <c r="J700" s="21">
        <f>Table1[[#This Row],[interactions]]/Table1[[#This Row],[Attendance]]</f>
        <v>1</v>
      </c>
    </row>
    <row r="701" spans="1:10" x14ac:dyDescent="0.2">
      <c r="A701" t="s">
        <v>366</v>
      </c>
      <c r="B701" t="s">
        <v>692</v>
      </c>
      <c r="C701" s="1">
        <v>45610</v>
      </c>
      <c r="D701" t="s">
        <v>366</v>
      </c>
      <c r="E701">
        <v>70</v>
      </c>
      <c r="F701" s="18">
        <v>70</v>
      </c>
      <c r="H701" t="s">
        <v>608</v>
      </c>
      <c r="I701" t="s">
        <v>610</v>
      </c>
      <c r="J701" s="21">
        <f>Table1[[#This Row],[interactions]]/Table1[[#This Row],[Attendance]]</f>
        <v>1</v>
      </c>
    </row>
    <row r="702" spans="1:10" x14ac:dyDescent="0.2">
      <c r="A702" t="s">
        <v>366</v>
      </c>
      <c r="B702" t="s">
        <v>692</v>
      </c>
      <c r="C702" s="1">
        <v>45561</v>
      </c>
      <c r="D702" t="s">
        <v>217</v>
      </c>
      <c r="E702">
        <v>70</v>
      </c>
      <c r="F702" s="18">
        <v>70</v>
      </c>
      <c r="G702" t="s">
        <v>803</v>
      </c>
      <c r="I702" t="s">
        <v>610</v>
      </c>
      <c r="J702" s="21">
        <f>Table1[[#This Row],[interactions]]/Table1[[#This Row],[Attendance]]</f>
        <v>1</v>
      </c>
    </row>
    <row r="703" spans="1:10" x14ac:dyDescent="0.2">
      <c r="A703" t="s">
        <v>366</v>
      </c>
      <c r="B703" t="s">
        <v>692</v>
      </c>
      <c r="C703" s="1">
        <v>45771</v>
      </c>
      <c r="D703" t="s">
        <v>366</v>
      </c>
      <c r="E703">
        <v>75</v>
      </c>
      <c r="F703" s="18">
        <v>75</v>
      </c>
      <c r="H703" t="s">
        <v>608</v>
      </c>
      <c r="I703" t="s">
        <v>610</v>
      </c>
      <c r="J703" s="21">
        <f>Table1[[#This Row],[interactions]]/Table1[[#This Row],[Attendance]]</f>
        <v>1</v>
      </c>
    </row>
    <row r="704" spans="1:10" x14ac:dyDescent="0.2">
      <c r="A704" s="17" t="s">
        <v>366</v>
      </c>
      <c r="B704" t="s">
        <v>692</v>
      </c>
      <c r="C704" s="1">
        <v>45743</v>
      </c>
      <c r="D704" t="s">
        <v>217</v>
      </c>
      <c r="E704">
        <v>75</v>
      </c>
      <c r="F704" s="18">
        <v>75</v>
      </c>
      <c r="H704" t="s">
        <v>608</v>
      </c>
      <c r="I704" t="s">
        <v>610</v>
      </c>
      <c r="J704" s="21">
        <f>Table1[[#This Row],[interactions]]/Table1[[#This Row],[Attendance]]</f>
        <v>1</v>
      </c>
    </row>
    <row r="705" spans="1:10" x14ac:dyDescent="0.2">
      <c r="A705" s="17" t="s">
        <v>366</v>
      </c>
      <c r="B705" t="s">
        <v>552</v>
      </c>
      <c r="C705" s="1">
        <v>44966</v>
      </c>
      <c r="D705" t="s">
        <v>217</v>
      </c>
      <c r="E705">
        <v>75</v>
      </c>
      <c r="F705" s="18">
        <v>75</v>
      </c>
      <c r="G705" t="s">
        <v>551</v>
      </c>
      <c r="H705" t="s">
        <v>525</v>
      </c>
      <c r="I705" t="s">
        <v>631</v>
      </c>
      <c r="J705" s="21">
        <f>Table1[[#This Row],[interactions]]/Table1[[#This Row],[Attendance]]</f>
        <v>1</v>
      </c>
    </row>
    <row r="706" spans="1:10" x14ac:dyDescent="0.2">
      <c r="A706" s="17" t="s">
        <v>366</v>
      </c>
      <c r="B706" t="s">
        <v>609</v>
      </c>
      <c r="C706" s="1">
        <v>45834</v>
      </c>
      <c r="D706" t="s">
        <v>217</v>
      </c>
      <c r="E706">
        <v>80</v>
      </c>
      <c r="F706" s="18">
        <v>80</v>
      </c>
      <c r="H706" t="s">
        <v>608</v>
      </c>
      <c r="I706" t="s">
        <v>610</v>
      </c>
      <c r="J706" s="21">
        <f>Table1[[#This Row],[interactions]]/Table1[[#This Row],[Attendance]]</f>
        <v>1</v>
      </c>
    </row>
    <row r="707" spans="1:10" x14ac:dyDescent="0.2">
      <c r="A707" t="s">
        <v>640</v>
      </c>
      <c r="B707" t="s">
        <v>787</v>
      </c>
      <c r="C707" s="1">
        <v>45876</v>
      </c>
      <c r="D707" t="s">
        <v>366</v>
      </c>
      <c r="E707">
        <v>12</v>
      </c>
      <c r="F707" s="18">
        <v>12</v>
      </c>
      <c r="H707" t="s">
        <v>621</v>
      </c>
      <c r="I707" t="s">
        <v>675</v>
      </c>
      <c r="J707" s="21">
        <f>Table1[[#This Row],[interactions]]/Table1[[#This Row],[Attendance]]</f>
        <v>1</v>
      </c>
    </row>
    <row r="708" spans="1:10" x14ac:dyDescent="0.2">
      <c r="A708" t="s">
        <v>640</v>
      </c>
      <c r="B708" t="s">
        <v>787</v>
      </c>
      <c r="C708" s="1">
        <v>45666</v>
      </c>
      <c r="D708" t="s">
        <v>217</v>
      </c>
      <c r="E708">
        <v>15</v>
      </c>
      <c r="F708" s="18">
        <v>15</v>
      </c>
      <c r="H708" t="s">
        <v>621</v>
      </c>
      <c r="I708" t="s">
        <v>1585</v>
      </c>
      <c r="J708" s="21">
        <f>Table1[[#This Row],[interactions]]/Table1[[#This Row],[Attendance]]</f>
        <v>1</v>
      </c>
    </row>
    <row r="709" spans="1:10" x14ac:dyDescent="0.2">
      <c r="A709" t="s">
        <v>640</v>
      </c>
      <c r="B709" t="s">
        <v>787</v>
      </c>
      <c r="C709" s="1">
        <v>45722</v>
      </c>
      <c r="D709" t="s">
        <v>366</v>
      </c>
      <c r="E709">
        <v>20</v>
      </c>
      <c r="F709" s="18">
        <v>20</v>
      </c>
      <c r="H709" t="s">
        <v>621</v>
      </c>
      <c r="I709" t="s">
        <v>1585</v>
      </c>
      <c r="J709" s="21">
        <f>Table1[[#This Row],[interactions]]/Table1[[#This Row],[Attendance]]</f>
        <v>1</v>
      </c>
    </row>
    <row r="710" spans="1:10" x14ac:dyDescent="0.2">
      <c r="A710" t="s">
        <v>640</v>
      </c>
      <c r="B710" t="s">
        <v>1749</v>
      </c>
      <c r="C710" s="1">
        <v>44980</v>
      </c>
      <c r="D710" t="s">
        <v>1748</v>
      </c>
      <c r="E710">
        <v>20</v>
      </c>
      <c r="F710" s="18">
        <v>20</v>
      </c>
      <c r="G710" t="s">
        <v>1747</v>
      </c>
      <c r="H710" t="s">
        <v>22</v>
      </c>
      <c r="I710" t="s">
        <v>631</v>
      </c>
      <c r="J710" s="21">
        <f>Table1[[#This Row],[interactions]]/Table1[[#This Row],[Attendance]]</f>
        <v>1</v>
      </c>
    </row>
    <row r="711" spans="1:10" x14ac:dyDescent="0.2">
      <c r="A711" t="s">
        <v>640</v>
      </c>
      <c r="B711" t="s">
        <v>1611</v>
      </c>
      <c r="C711" s="1">
        <v>45730</v>
      </c>
      <c r="D711" t="s">
        <v>237</v>
      </c>
      <c r="E711">
        <v>50</v>
      </c>
      <c r="F711" s="18">
        <v>50</v>
      </c>
      <c r="G711" t="s">
        <v>1610</v>
      </c>
      <c r="H711" t="s">
        <v>1609</v>
      </c>
      <c r="I711" t="s">
        <v>790</v>
      </c>
      <c r="J711" s="21">
        <f>Table1[[#This Row],[interactions]]/Table1[[#This Row],[Attendance]]</f>
        <v>1</v>
      </c>
    </row>
    <row r="712" spans="1:10" x14ac:dyDescent="0.2">
      <c r="A712" t="s">
        <v>640</v>
      </c>
      <c r="B712" t="s">
        <v>1652</v>
      </c>
      <c r="C712" s="1">
        <v>45678</v>
      </c>
      <c r="D712" t="s">
        <v>640</v>
      </c>
      <c r="E712">
        <v>100</v>
      </c>
      <c r="F712" s="18">
        <v>100</v>
      </c>
      <c r="G712" t="s">
        <v>1651</v>
      </c>
      <c r="H712" t="s">
        <v>1650</v>
      </c>
      <c r="I712" t="s">
        <v>631</v>
      </c>
      <c r="J712" s="21">
        <f>Table1[[#This Row],[interactions]]/Table1[[#This Row],[Attendance]]</f>
        <v>1</v>
      </c>
    </row>
    <row r="713" spans="1:10" x14ac:dyDescent="0.2">
      <c r="A713" t="s">
        <v>640</v>
      </c>
      <c r="B713" t="s">
        <v>1407</v>
      </c>
      <c r="C713" s="1">
        <v>45952</v>
      </c>
      <c r="D713" t="s">
        <v>115</v>
      </c>
      <c r="E713">
        <v>150</v>
      </c>
      <c r="F713" s="18">
        <v>150</v>
      </c>
      <c r="I713" t="s">
        <v>1408</v>
      </c>
      <c r="J713" s="21">
        <f>Table1[[#This Row],[interactions]]/Table1[[#This Row],[Attendance]]</f>
        <v>1</v>
      </c>
    </row>
    <row r="714" spans="1:10" x14ac:dyDescent="0.2">
      <c r="A714" t="s">
        <v>640</v>
      </c>
      <c r="B714" t="s">
        <v>1624</v>
      </c>
      <c r="C714" s="1">
        <v>45717</v>
      </c>
      <c r="D714" t="s">
        <v>115</v>
      </c>
      <c r="E714">
        <v>200</v>
      </c>
      <c r="F714" s="18">
        <v>200</v>
      </c>
      <c r="G714" t="s">
        <v>1623</v>
      </c>
      <c r="H714" t="s">
        <v>1622</v>
      </c>
      <c r="I714" t="s">
        <v>679</v>
      </c>
      <c r="J714" s="21">
        <f>Table1[[#This Row],[interactions]]/Table1[[#This Row],[Attendance]]</f>
        <v>1</v>
      </c>
    </row>
    <row r="715" spans="1:10" x14ac:dyDescent="0.2">
      <c r="A715" t="s">
        <v>640</v>
      </c>
      <c r="B715" t="s">
        <v>1743</v>
      </c>
      <c r="C715" s="1">
        <v>44991</v>
      </c>
      <c r="D715" t="s">
        <v>1742</v>
      </c>
      <c r="E715">
        <v>400</v>
      </c>
      <c r="F715" s="18">
        <v>400</v>
      </c>
      <c r="G715" t="s">
        <v>1741</v>
      </c>
      <c r="H715" t="s">
        <v>1740</v>
      </c>
      <c r="I715" t="s">
        <v>631</v>
      </c>
      <c r="J715" s="21">
        <f>Table1[[#This Row],[interactions]]/Table1[[#This Row],[Attendance]]</f>
        <v>1</v>
      </c>
    </row>
    <row r="716" spans="1:10" x14ac:dyDescent="0.2">
      <c r="A716" t="s">
        <v>640</v>
      </c>
      <c r="B716" t="s">
        <v>1428</v>
      </c>
      <c r="C716" s="1">
        <v>45934</v>
      </c>
      <c r="D716" t="s">
        <v>115</v>
      </c>
      <c r="E716">
        <v>500</v>
      </c>
      <c r="F716" s="18">
        <v>500</v>
      </c>
      <c r="H716" t="s">
        <v>1427</v>
      </c>
      <c r="I716" t="s">
        <v>1423</v>
      </c>
      <c r="J716" s="21">
        <f>Table1[[#This Row],[interactions]]/Table1[[#This Row],[Attendance]]</f>
        <v>1</v>
      </c>
    </row>
    <row r="717" spans="1:10" x14ac:dyDescent="0.2">
      <c r="A717" t="s">
        <v>640</v>
      </c>
      <c r="B717" t="s">
        <v>1636</v>
      </c>
      <c r="C717" s="1">
        <v>45707</v>
      </c>
      <c r="D717" t="s">
        <v>115</v>
      </c>
      <c r="E717">
        <v>500</v>
      </c>
      <c r="F717" s="18">
        <v>500</v>
      </c>
      <c r="H717" t="s">
        <v>973</v>
      </c>
      <c r="I717" t="s">
        <v>687</v>
      </c>
      <c r="J717" s="21">
        <f>Table1[[#This Row],[interactions]]/Table1[[#This Row],[Attendance]]</f>
        <v>1</v>
      </c>
    </row>
    <row r="718" spans="1:10" x14ac:dyDescent="0.2">
      <c r="A718" t="s">
        <v>640</v>
      </c>
      <c r="B718" t="s">
        <v>1502</v>
      </c>
      <c r="C718" s="1">
        <v>45889</v>
      </c>
      <c r="D718" t="s">
        <v>217</v>
      </c>
      <c r="E718">
        <v>10</v>
      </c>
      <c r="F718" s="18">
        <v>10</v>
      </c>
      <c r="H718" t="s">
        <v>941</v>
      </c>
      <c r="I718" t="s">
        <v>704</v>
      </c>
      <c r="J718" s="21">
        <f>Table1[[#This Row],[interactions]]/Table1[[#This Row],[Attendance]]</f>
        <v>1</v>
      </c>
    </row>
    <row r="719" spans="1:10" x14ac:dyDescent="0.2">
      <c r="A719" t="s">
        <v>640</v>
      </c>
      <c r="B719" t="s">
        <v>360</v>
      </c>
      <c r="C719" s="1">
        <v>45177</v>
      </c>
      <c r="D719" t="s">
        <v>358</v>
      </c>
      <c r="E719">
        <v>20</v>
      </c>
      <c r="F719" s="18">
        <v>20</v>
      </c>
      <c r="G719" t="s">
        <v>357</v>
      </c>
      <c r="H719" t="s">
        <v>229</v>
      </c>
      <c r="I719" t="s">
        <v>631</v>
      </c>
      <c r="J719" s="21">
        <f>Table1[[#This Row],[interactions]]/Table1[[#This Row],[Attendance]]</f>
        <v>1</v>
      </c>
    </row>
    <row r="720" spans="1:10" x14ac:dyDescent="0.2">
      <c r="A720" t="s">
        <v>640</v>
      </c>
      <c r="B720" t="s">
        <v>145</v>
      </c>
      <c r="C720" s="1">
        <v>11073</v>
      </c>
      <c r="D720" t="s">
        <v>237</v>
      </c>
      <c r="E720">
        <v>25</v>
      </c>
      <c r="F720" s="18">
        <v>25</v>
      </c>
      <c r="H720" t="s">
        <v>1532</v>
      </c>
      <c r="I720" t="s">
        <v>593</v>
      </c>
      <c r="J720" s="21">
        <f>Table1[[#This Row],[interactions]]/Table1[[#This Row],[Attendance]]</f>
        <v>1</v>
      </c>
    </row>
    <row r="721" spans="1:10" x14ac:dyDescent="0.2">
      <c r="A721" t="s">
        <v>640</v>
      </c>
      <c r="B721" t="s">
        <v>1424</v>
      </c>
      <c r="C721" s="1">
        <v>45940</v>
      </c>
      <c r="D721" t="s">
        <v>1386</v>
      </c>
      <c r="E721">
        <v>40</v>
      </c>
      <c r="F721" s="18">
        <v>40</v>
      </c>
      <c r="H721" t="s">
        <v>1139</v>
      </c>
      <c r="I721" t="s">
        <v>1403</v>
      </c>
      <c r="J721" s="21">
        <f>Table1[[#This Row],[interactions]]/Table1[[#This Row],[Attendance]]</f>
        <v>1</v>
      </c>
    </row>
    <row r="722" spans="1:10" x14ac:dyDescent="0.2">
      <c r="A722" t="s">
        <v>640</v>
      </c>
      <c r="B722" t="s">
        <v>1567</v>
      </c>
      <c r="C722" s="1">
        <v>45793</v>
      </c>
      <c r="D722" t="s">
        <v>115</v>
      </c>
      <c r="E722">
        <v>100</v>
      </c>
      <c r="F722" s="18">
        <v>100</v>
      </c>
      <c r="I722" t="s">
        <v>614</v>
      </c>
      <c r="J722" s="21">
        <f>Table1[[#This Row],[interactions]]/Table1[[#This Row],[Attendance]]</f>
        <v>1</v>
      </c>
    </row>
    <row r="723" spans="1:10" x14ac:dyDescent="0.2">
      <c r="A723" t="s">
        <v>640</v>
      </c>
      <c r="B723" t="s">
        <v>1445</v>
      </c>
      <c r="C723" s="1">
        <v>45925</v>
      </c>
      <c r="D723" t="s">
        <v>115</v>
      </c>
      <c r="E723">
        <v>110</v>
      </c>
      <c r="F723" s="18">
        <v>110</v>
      </c>
      <c r="H723" t="s">
        <v>1444</v>
      </c>
      <c r="I723" t="s">
        <v>1423</v>
      </c>
      <c r="J723" s="21">
        <f>Table1[[#This Row],[interactions]]/Table1[[#This Row],[Attendance]]</f>
        <v>1</v>
      </c>
    </row>
    <row r="724" spans="1:10" x14ac:dyDescent="0.2">
      <c r="A724" t="s">
        <v>640</v>
      </c>
      <c r="B724" t="s">
        <v>1477</v>
      </c>
      <c r="C724" s="1">
        <v>45910</v>
      </c>
      <c r="D724" t="s">
        <v>115</v>
      </c>
      <c r="E724">
        <v>150</v>
      </c>
      <c r="F724" s="18">
        <v>150</v>
      </c>
      <c r="H724" t="s">
        <v>1476</v>
      </c>
      <c r="I724" t="s">
        <v>1423</v>
      </c>
      <c r="J724" s="21">
        <f>Table1[[#This Row],[interactions]]/Table1[[#This Row],[Attendance]]</f>
        <v>1</v>
      </c>
    </row>
    <row r="725" spans="1:10" x14ac:dyDescent="0.2">
      <c r="A725" t="s">
        <v>640</v>
      </c>
      <c r="B725" t="s">
        <v>1538</v>
      </c>
      <c r="C725" s="1">
        <v>45842</v>
      </c>
      <c r="D725" t="s">
        <v>115</v>
      </c>
      <c r="E725">
        <v>200</v>
      </c>
      <c r="F725" s="18">
        <v>200</v>
      </c>
      <c r="H725" t="s">
        <v>1537</v>
      </c>
      <c r="I725" t="s">
        <v>631</v>
      </c>
      <c r="J725" s="21">
        <f>Table1[[#This Row],[interactions]]/Table1[[#This Row],[Attendance]]</f>
        <v>1</v>
      </c>
    </row>
    <row r="726" spans="1:10" x14ac:dyDescent="0.2">
      <c r="A726" t="s">
        <v>640</v>
      </c>
      <c r="B726" t="s">
        <v>1576</v>
      </c>
      <c r="C726" s="1">
        <v>45778</v>
      </c>
      <c r="D726" t="s">
        <v>115</v>
      </c>
      <c r="E726">
        <v>250</v>
      </c>
      <c r="F726" s="18">
        <v>250</v>
      </c>
      <c r="H726" t="s">
        <v>1575</v>
      </c>
      <c r="I726" t="s">
        <v>1577</v>
      </c>
      <c r="J726" s="21">
        <f>Table1[[#This Row],[interactions]]/Table1[[#This Row],[Attendance]]</f>
        <v>1</v>
      </c>
    </row>
    <row r="727" spans="1:10" x14ac:dyDescent="0.2">
      <c r="A727" t="s">
        <v>640</v>
      </c>
      <c r="B727" t="s">
        <v>1133</v>
      </c>
      <c r="C727" s="1">
        <v>45798</v>
      </c>
      <c r="D727" t="s">
        <v>115</v>
      </c>
      <c r="E727">
        <v>375</v>
      </c>
      <c r="F727" s="18">
        <v>375</v>
      </c>
      <c r="H727" t="s">
        <v>1563</v>
      </c>
      <c r="I727" t="s">
        <v>593</v>
      </c>
      <c r="J727" s="21">
        <f>Table1[[#This Row],[interactions]]/Table1[[#This Row],[Attendance]]</f>
        <v>1</v>
      </c>
    </row>
    <row r="728" spans="1:10" x14ac:dyDescent="0.2">
      <c r="A728" t="s">
        <v>640</v>
      </c>
      <c r="B728" t="s">
        <v>1566</v>
      </c>
      <c r="C728" s="1">
        <v>45794</v>
      </c>
      <c r="D728" t="s">
        <v>115</v>
      </c>
      <c r="E728">
        <v>750</v>
      </c>
      <c r="F728" s="18">
        <v>750</v>
      </c>
      <c r="H728" t="s">
        <v>685</v>
      </c>
      <c r="I728" t="s">
        <v>651</v>
      </c>
      <c r="J728" s="21">
        <f>Table1[[#This Row],[interactions]]/Table1[[#This Row],[Attendance]]</f>
        <v>1</v>
      </c>
    </row>
    <row r="729" spans="1:10" x14ac:dyDescent="0.2">
      <c r="A729" t="s">
        <v>640</v>
      </c>
      <c r="B729" t="s">
        <v>1461</v>
      </c>
      <c r="C729" s="1">
        <v>45918</v>
      </c>
      <c r="D729" t="s">
        <v>115</v>
      </c>
      <c r="E729" s="2">
        <v>5000</v>
      </c>
      <c r="F729" s="18">
        <v>5000</v>
      </c>
      <c r="G729" t="s">
        <v>1460</v>
      </c>
      <c r="H729" t="s">
        <v>685</v>
      </c>
      <c r="I729" t="s">
        <v>1423</v>
      </c>
      <c r="J729" s="21">
        <f>Table1[[#This Row],[interactions]]/Table1[[#This Row],[Attendance]]</f>
        <v>1</v>
      </c>
    </row>
    <row r="730" spans="1:10" x14ac:dyDescent="0.2">
      <c r="A730" t="s">
        <v>1381</v>
      </c>
      <c r="B730" t="s">
        <v>1380</v>
      </c>
      <c r="C730" s="1">
        <v>12756</v>
      </c>
      <c r="D730" t="s">
        <v>237</v>
      </c>
      <c r="E730">
        <v>70</v>
      </c>
      <c r="F730" s="18">
        <v>70</v>
      </c>
      <c r="G730" t="s">
        <v>1379</v>
      </c>
      <c r="H730" t="s">
        <v>621</v>
      </c>
      <c r="I730" t="s">
        <v>625</v>
      </c>
      <c r="J730" s="21">
        <f>Table1[[#This Row],[interactions]]/Table1[[#This Row],[Attendance]]</f>
        <v>1</v>
      </c>
    </row>
    <row r="731" spans="1:10" x14ac:dyDescent="0.2">
      <c r="A731" t="s">
        <v>1381</v>
      </c>
      <c r="B731" t="s">
        <v>829</v>
      </c>
      <c r="C731" s="1">
        <v>45554</v>
      </c>
      <c r="D731" t="s">
        <v>115</v>
      </c>
      <c r="E731">
        <v>200</v>
      </c>
      <c r="F731" s="18">
        <v>200</v>
      </c>
      <c r="H731" t="s">
        <v>744</v>
      </c>
      <c r="I731" t="s">
        <v>690</v>
      </c>
      <c r="J731" s="21">
        <f>Table1[[#This Row],[interactions]]/Table1[[#This Row],[Attendance]]</f>
        <v>1</v>
      </c>
    </row>
    <row r="732" spans="1:10" x14ac:dyDescent="0.2">
      <c r="A732" t="s">
        <v>1381</v>
      </c>
      <c r="B732" t="s">
        <v>1564</v>
      </c>
      <c r="C732" s="1">
        <v>45797</v>
      </c>
      <c r="D732" t="s">
        <v>288</v>
      </c>
      <c r="E732">
        <v>250</v>
      </c>
      <c r="F732" s="18">
        <v>250</v>
      </c>
      <c r="H732" t="s">
        <v>608</v>
      </c>
      <c r="I732" t="s">
        <v>657</v>
      </c>
      <c r="J732" s="21">
        <f>Table1[[#This Row],[interactions]]/Table1[[#This Row],[Attendance]]</f>
        <v>1</v>
      </c>
    </row>
    <row r="733" spans="1:10" x14ac:dyDescent="0.2">
      <c r="A733" t="s">
        <v>1692</v>
      </c>
      <c r="B733" t="s">
        <v>1739</v>
      </c>
      <c r="C733" s="1">
        <v>44994</v>
      </c>
      <c r="D733" t="s">
        <v>1736</v>
      </c>
      <c r="E733">
        <v>7</v>
      </c>
      <c r="F733" s="18">
        <v>7</v>
      </c>
      <c r="G733" t="s">
        <v>1738</v>
      </c>
      <c r="H733" t="s">
        <v>452</v>
      </c>
      <c r="I733" t="s">
        <v>631</v>
      </c>
      <c r="J733" s="21">
        <f>Table1[[#This Row],[interactions]]/Table1[[#This Row],[Attendance]]</f>
        <v>1</v>
      </c>
    </row>
    <row r="734" spans="1:10" x14ac:dyDescent="0.2">
      <c r="A734" t="s">
        <v>1692</v>
      </c>
      <c r="B734" t="s">
        <v>1688</v>
      </c>
      <c r="C734" s="1">
        <v>45175</v>
      </c>
      <c r="D734" t="s">
        <v>1687</v>
      </c>
      <c r="E734">
        <v>8</v>
      </c>
      <c r="F734" s="18">
        <v>8</v>
      </c>
      <c r="G734" t="s">
        <v>1686</v>
      </c>
      <c r="H734" t="s">
        <v>1685</v>
      </c>
      <c r="I734" t="s">
        <v>631</v>
      </c>
      <c r="J734" s="21">
        <f>Table1[[#This Row],[interactions]]/Table1[[#This Row],[Attendance]]</f>
        <v>1</v>
      </c>
    </row>
    <row r="735" spans="1:10" x14ac:dyDescent="0.2">
      <c r="A735" t="s">
        <v>1692</v>
      </c>
      <c r="B735" t="s">
        <v>1691</v>
      </c>
      <c r="C735" s="1">
        <v>45138</v>
      </c>
      <c r="D735" t="s">
        <v>1690</v>
      </c>
      <c r="E735">
        <v>10</v>
      </c>
      <c r="F735" s="18">
        <v>10</v>
      </c>
      <c r="G735" t="s">
        <v>1689</v>
      </c>
      <c r="H735" t="s">
        <v>22</v>
      </c>
      <c r="I735" t="s">
        <v>631</v>
      </c>
      <c r="J735" s="21">
        <f>Table1[[#This Row],[interactions]]/Table1[[#This Row],[Attendance]]</f>
        <v>1</v>
      </c>
    </row>
    <row r="736" spans="1:10" x14ac:dyDescent="0.2">
      <c r="A736" t="s">
        <v>1692</v>
      </c>
      <c r="B736" t="s">
        <v>50</v>
      </c>
      <c r="C736" s="1">
        <v>44482</v>
      </c>
      <c r="D736" t="s">
        <v>51</v>
      </c>
      <c r="E736">
        <v>20</v>
      </c>
      <c r="F736" s="18">
        <v>20</v>
      </c>
      <c r="G736" t="s">
        <v>52</v>
      </c>
      <c r="H736" t="s">
        <v>43</v>
      </c>
      <c r="I736" t="s">
        <v>631</v>
      </c>
      <c r="J736" s="21">
        <f>Table1[[#This Row],[interactions]]/Table1[[#This Row],[Attendance]]</f>
        <v>1</v>
      </c>
    </row>
    <row r="737" spans="1:10" x14ac:dyDescent="0.2">
      <c r="A737" t="s">
        <v>1692</v>
      </c>
      <c r="B737" t="s">
        <v>1751</v>
      </c>
      <c r="C737" s="1">
        <v>44967</v>
      </c>
      <c r="D737" t="s">
        <v>1717</v>
      </c>
      <c r="E737">
        <v>25</v>
      </c>
      <c r="F737" s="18">
        <v>25</v>
      </c>
      <c r="G737" t="s">
        <v>1750</v>
      </c>
      <c r="H737" t="s">
        <v>452</v>
      </c>
      <c r="I737" t="s">
        <v>631</v>
      </c>
      <c r="J737" s="21">
        <f>Table1[[#This Row],[interactions]]/Table1[[#This Row],[Attendance]]</f>
        <v>1</v>
      </c>
    </row>
    <row r="738" spans="1:10" x14ac:dyDescent="0.2">
      <c r="A738" t="s">
        <v>1692</v>
      </c>
      <c r="B738" t="s">
        <v>1881</v>
      </c>
      <c r="C738" s="1">
        <v>45751</v>
      </c>
      <c r="D738" t="s">
        <v>1880</v>
      </c>
      <c r="E738">
        <v>27</v>
      </c>
      <c r="F738" s="18">
        <v>27</v>
      </c>
      <c r="H738" t="s">
        <v>621</v>
      </c>
      <c r="I738" t="s">
        <v>631</v>
      </c>
      <c r="J738" s="21">
        <f>Table1[[#This Row],[interactions]]/Table1[[#This Row],[Attendance]]</f>
        <v>1</v>
      </c>
    </row>
    <row r="739" spans="1:10" x14ac:dyDescent="0.2">
      <c r="A739" t="s">
        <v>1692</v>
      </c>
      <c r="B739" t="s">
        <v>107</v>
      </c>
      <c r="C739" s="1">
        <v>44853</v>
      </c>
      <c r="D739" t="s">
        <v>106</v>
      </c>
      <c r="E739">
        <v>30</v>
      </c>
      <c r="F739" s="18">
        <v>30</v>
      </c>
      <c r="G739" t="s">
        <v>105</v>
      </c>
      <c r="H739" t="s">
        <v>43</v>
      </c>
      <c r="I739" t="s">
        <v>631</v>
      </c>
      <c r="J739" s="21">
        <f>Table1[[#This Row],[interactions]]/Table1[[#This Row],[Attendance]]</f>
        <v>1</v>
      </c>
    </row>
    <row r="740" spans="1:10" x14ac:dyDescent="0.2">
      <c r="A740" t="s">
        <v>1692</v>
      </c>
      <c r="B740" t="s">
        <v>179</v>
      </c>
      <c r="C740" s="1">
        <v>44658</v>
      </c>
      <c r="D740" t="s">
        <v>178</v>
      </c>
      <c r="E740">
        <v>30</v>
      </c>
      <c r="F740" s="18">
        <v>30</v>
      </c>
      <c r="G740" t="s">
        <v>177</v>
      </c>
      <c r="H740" t="s">
        <v>10</v>
      </c>
      <c r="I740" t="s">
        <v>631</v>
      </c>
      <c r="J740" s="21">
        <f>Table1[[#This Row],[interactions]]/Table1[[#This Row],[Attendance]]</f>
        <v>1</v>
      </c>
    </row>
    <row r="741" spans="1:10" x14ac:dyDescent="0.2">
      <c r="A741" t="s">
        <v>1692</v>
      </c>
      <c r="B741" t="s">
        <v>185</v>
      </c>
      <c r="C741" s="1">
        <v>44650</v>
      </c>
      <c r="D741" t="s">
        <v>51</v>
      </c>
      <c r="E741">
        <v>30</v>
      </c>
      <c r="F741" s="18">
        <v>30</v>
      </c>
      <c r="G741" t="s">
        <v>184</v>
      </c>
      <c r="H741" t="s">
        <v>43</v>
      </c>
      <c r="I741" t="s">
        <v>631</v>
      </c>
      <c r="J741" s="21">
        <f>Table1[[#This Row],[interactions]]/Table1[[#This Row],[Attendance]]</f>
        <v>1</v>
      </c>
    </row>
    <row r="742" spans="1:10" x14ac:dyDescent="0.2">
      <c r="A742" t="s">
        <v>1692</v>
      </c>
      <c r="B742" t="s">
        <v>1718</v>
      </c>
      <c r="C742" s="1">
        <v>45062</v>
      </c>
      <c r="D742" t="s">
        <v>1717</v>
      </c>
      <c r="E742">
        <v>35</v>
      </c>
      <c r="F742" s="18">
        <v>35</v>
      </c>
      <c r="G742" t="s">
        <v>1716</v>
      </c>
      <c r="H742" t="s">
        <v>452</v>
      </c>
      <c r="I742" t="s">
        <v>631</v>
      </c>
      <c r="J742" s="21">
        <f>Table1[[#This Row],[interactions]]/Table1[[#This Row],[Attendance]]</f>
        <v>1</v>
      </c>
    </row>
    <row r="743" spans="1:10" x14ac:dyDescent="0.2">
      <c r="A743" t="s">
        <v>1692</v>
      </c>
      <c r="B743" t="s">
        <v>113</v>
      </c>
      <c r="C743" s="1">
        <v>44839</v>
      </c>
      <c r="D743" t="s">
        <v>112</v>
      </c>
      <c r="E743">
        <v>40</v>
      </c>
      <c r="F743" s="18">
        <v>40</v>
      </c>
      <c r="G743" t="s">
        <v>111</v>
      </c>
      <c r="H743" t="s">
        <v>43</v>
      </c>
      <c r="I743" t="s">
        <v>631</v>
      </c>
      <c r="J743" s="21">
        <f>Table1[[#This Row],[interactions]]/Table1[[#This Row],[Attendance]]</f>
        <v>1</v>
      </c>
    </row>
    <row r="744" spans="1:10" x14ac:dyDescent="0.2">
      <c r="A744" s="15" t="s">
        <v>1692</v>
      </c>
      <c r="B744" t="s">
        <v>1737</v>
      </c>
      <c r="C744" s="1">
        <v>44994</v>
      </c>
      <c r="D744" t="s">
        <v>1736</v>
      </c>
      <c r="E744">
        <v>45</v>
      </c>
      <c r="F744" s="18">
        <v>45</v>
      </c>
      <c r="G744" t="s">
        <v>1735</v>
      </c>
      <c r="H744" t="s">
        <v>452</v>
      </c>
      <c r="I744" t="s">
        <v>631</v>
      </c>
      <c r="J744" s="21">
        <f>Table1[[#This Row],[interactions]]/Table1[[#This Row],[Attendance]]</f>
        <v>1</v>
      </c>
    </row>
    <row r="745" spans="1:10" x14ac:dyDescent="0.2">
      <c r="A745" t="s">
        <v>1692</v>
      </c>
      <c r="B745" t="s">
        <v>1846</v>
      </c>
      <c r="C745" s="1">
        <v>45939</v>
      </c>
      <c r="D745" t="s">
        <v>1845</v>
      </c>
      <c r="E745">
        <v>50</v>
      </c>
      <c r="F745" s="18">
        <v>50</v>
      </c>
      <c r="H745" t="s">
        <v>1409</v>
      </c>
      <c r="I745" t="s">
        <v>631</v>
      </c>
      <c r="J745" s="21">
        <f>Table1[[#This Row],[interactions]]/Table1[[#This Row],[Attendance]]</f>
        <v>1</v>
      </c>
    </row>
    <row r="746" spans="1:10" x14ac:dyDescent="0.2">
      <c r="A746" t="s">
        <v>1692</v>
      </c>
      <c r="B746" t="s">
        <v>1846</v>
      </c>
      <c r="C746" s="1">
        <v>45938</v>
      </c>
      <c r="D746" t="s">
        <v>1845</v>
      </c>
      <c r="E746">
        <v>50</v>
      </c>
      <c r="F746" s="18">
        <v>50</v>
      </c>
      <c r="H746" t="s">
        <v>1409</v>
      </c>
      <c r="I746" t="s">
        <v>631</v>
      </c>
      <c r="J746" s="21">
        <f>Table1[[#This Row],[interactions]]/Table1[[#This Row],[Attendance]]</f>
        <v>1</v>
      </c>
    </row>
    <row r="747" spans="1:10" x14ac:dyDescent="0.2">
      <c r="A747" t="s">
        <v>1692</v>
      </c>
      <c r="B747" t="s">
        <v>1734</v>
      </c>
      <c r="C747" s="1">
        <v>44999</v>
      </c>
      <c r="D747" t="s">
        <v>1717</v>
      </c>
      <c r="E747">
        <v>50</v>
      </c>
      <c r="F747" s="18">
        <v>50</v>
      </c>
      <c r="H747" t="s">
        <v>498</v>
      </c>
      <c r="I747" t="s">
        <v>631</v>
      </c>
      <c r="J747" s="21">
        <f>Table1[[#This Row],[interactions]]/Table1[[#This Row],[Attendance]]</f>
        <v>1</v>
      </c>
    </row>
    <row r="748" spans="1:10" x14ac:dyDescent="0.2">
      <c r="A748" t="s">
        <v>1692</v>
      </c>
      <c r="B748" t="s">
        <v>1752</v>
      </c>
      <c r="C748" s="1">
        <v>44965</v>
      </c>
      <c r="D748" t="s">
        <v>1717</v>
      </c>
      <c r="E748">
        <v>50</v>
      </c>
      <c r="F748" s="18">
        <v>50</v>
      </c>
      <c r="H748" t="s">
        <v>452</v>
      </c>
      <c r="I748" t="s">
        <v>631</v>
      </c>
      <c r="J748" s="21">
        <f>Table1[[#This Row],[interactions]]/Table1[[#This Row],[Attendance]]</f>
        <v>1</v>
      </c>
    </row>
    <row r="749" spans="1:10" x14ac:dyDescent="0.2">
      <c r="A749" t="s">
        <v>1692</v>
      </c>
      <c r="B749" t="s">
        <v>1756</v>
      </c>
      <c r="C749" s="1">
        <v>44943</v>
      </c>
      <c r="D749" t="s">
        <v>1717</v>
      </c>
      <c r="E749">
        <v>50</v>
      </c>
      <c r="F749" s="18">
        <v>50</v>
      </c>
      <c r="H749" t="s">
        <v>564</v>
      </c>
      <c r="I749" t="s">
        <v>631</v>
      </c>
      <c r="J749" s="21">
        <f>Table1[[#This Row],[interactions]]/Table1[[#This Row],[Attendance]]</f>
        <v>1</v>
      </c>
    </row>
    <row r="750" spans="1:10" x14ac:dyDescent="0.2">
      <c r="A750" t="s">
        <v>1692</v>
      </c>
      <c r="B750" t="s">
        <v>120</v>
      </c>
      <c r="C750" s="1">
        <v>44828</v>
      </c>
      <c r="D750" t="s">
        <v>119</v>
      </c>
      <c r="E750">
        <v>50</v>
      </c>
      <c r="F750" s="18">
        <v>50</v>
      </c>
      <c r="G750" t="s">
        <v>118</v>
      </c>
      <c r="H750" t="s">
        <v>10</v>
      </c>
      <c r="I750" t="s">
        <v>631</v>
      </c>
      <c r="J750" s="21">
        <f>Table1[[#This Row],[interactions]]/Table1[[#This Row],[Attendance]]</f>
        <v>1</v>
      </c>
    </row>
    <row r="751" spans="1:10" x14ac:dyDescent="0.2">
      <c r="A751" t="s">
        <v>23</v>
      </c>
      <c r="B751" t="s">
        <v>1759</v>
      </c>
      <c r="C751" s="1">
        <v>45636</v>
      </c>
      <c r="D751" t="s">
        <v>1758</v>
      </c>
      <c r="E751">
        <v>70</v>
      </c>
      <c r="F751" s="18">
        <v>75</v>
      </c>
      <c r="G751" t="s">
        <v>1757</v>
      </c>
      <c r="H751" t="s">
        <v>685</v>
      </c>
      <c r="I751" t="s">
        <v>631</v>
      </c>
      <c r="J751" s="21">
        <f>Table1[[#This Row],[interactions]]/Table1[[#This Row],[Attendance]]</f>
        <v>0.93333333333333335</v>
      </c>
    </row>
    <row r="752" spans="1:10" x14ac:dyDescent="0.2">
      <c r="A752" t="s">
        <v>1692</v>
      </c>
      <c r="B752" t="s">
        <v>1771</v>
      </c>
      <c r="C752" s="1">
        <v>45534</v>
      </c>
      <c r="D752" t="s">
        <v>1770</v>
      </c>
      <c r="E752">
        <v>10</v>
      </c>
      <c r="F752" s="18">
        <v>11</v>
      </c>
      <c r="G752" t="s">
        <v>1769</v>
      </c>
      <c r="H752" t="s">
        <v>1768</v>
      </c>
      <c r="I752" t="s">
        <v>631</v>
      </c>
      <c r="J752" s="21">
        <f>Table1[[#This Row],[interactions]]/Table1[[#This Row],[Attendance]]</f>
        <v>0.90909090909090906</v>
      </c>
    </row>
    <row r="753" spans="1:10" x14ac:dyDescent="0.2">
      <c r="A753" t="s">
        <v>1767</v>
      </c>
      <c r="B753" t="s">
        <v>198</v>
      </c>
      <c r="C753" s="1">
        <v>44630</v>
      </c>
      <c r="D753" t="s">
        <v>8</v>
      </c>
      <c r="E753">
        <v>45</v>
      </c>
      <c r="F753" s="18">
        <v>50</v>
      </c>
      <c r="G753" t="s">
        <v>197</v>
      </c>
      <c r="H753" t="s">
        <v>10</v>
      </c>
      <c r="I753" t="s">
        <v>631</v>
      </c>
      <c r="J753" s="21">
        <f>Table1[[#This Row],[interactions]]/Table1[[#This Row],[Attendance]]</f>
        <v>0.9</v>
      </c>
    </row>
    <row r="754" spans="1:10" x14ac:dyDescent="0.2">
      <c r="A754" t="s">
        <v>640</v>
      </c>
      <c r="B754" t="s">
        <v>1551</v>
      </c>
      <c r="C754" s="1">
        <v>45829</v>
      </c>
      <c r="D754" t="s">
        <v>115</v>
      </c>
      <c r="E754">
        <v>200</v>
      </c>
      <c r="F754" s="18">
        <v>225</v>
      </c>
      <c r="H754" t="s">
        <v>1550</v>
      </c>
      <c r="I754" t="s">
        <v>631</v>
      </c>
      <c r="J754" s="21">
        <f>Table1[[#This Row],[interactions]]/Table1[[#This Row],[Attendance]]</f>
        <v>0.88888888888888884</v>
      </c>
    </row>
    <row r="755" spans="1:10" x14ac:dyDescent="0.2">
      <c r="A755" t="s">
        <v>11</v>
      </c>
      <c r="B755" t="s">
        <v>1637</v>
      </c>
      <c r="C755" s="1">
        <v>45707</v>
      </c>
      <c r="D755" t="s">
        <v>217</v>
      </c>
      <c r="E755">
        <v>30</v>
      </c>
      <c r="F755" s="18">
        <v>35</v>
      </c>
      <c r="H755" t="s">
        <v>490</v>
      </c>
      <c r="I755" t="s">
        <v>593</v>
      </c>
      <c r="J755" s="21">
        <f>Table1[[#This Row],[interactions]]/Table1[[#This Row],[Attendance]]</f>
        <v>0.8571428571428571</v>
      </c>
    </row>
    <row r="756" spans="1:10" x14ac:dyDescent="0.2">
      <c r="A756" t="s">
        <v>11</v>
      </c>
      <c r="B756" t="s">
        <v>532</v>
      </c>
      <c r="C756" s="1">
        <v>44978</v>
      </c>
      <c r="D756" t="s">
        <v>217</v>
      </c>
      <c r="E756">
        <v>85</v>
      </c>
      <c r="F756" s="18">
        <v>100</v>
      </c>
      <c r="G756" t="s">
        <v>531</v>
      </c>
      <c r="H756" t="s">
        <v>530</v>
      </c>
      <c r="I756" t="s">
        <v>631</v>
      </c>
      <c r="J756" s="21">
        <f>Table1[[#This Row],[interactions]]/Table1[[#This Row],[Attendance]]</f>
        <v>0.85</v>
      </c>
    </row>
    <row r="757" spans="1:10" x14ac:dyDescent="0.2">
      <c r="A757" t="s">
        <v>11</v>
      </c>
      <c r="B757" t="s">
        <v>914</v>
      </c>
      <c r="C757" s="1">
        <v>45531</v>
      </c>
      <c r="D757" t="s">
        <v>217</v>
      </c>
      <c r="E757">
        <v>25</v>
      </c>
      <c r="F757" s="18">
        <v>30</v>
      </c>
      <c r="H757" t="s">
        <v>215</v>
      </c>
      <c r="I757" t="s">
        <v>657</v>
      </c>
      <c r="J757" s="21">
        <f>Table1[[#This Row],[interactions]]/Table1[[#This Row],[Attendance]]</f>
        <v>0.83333333333333337</v>
      </c>
    </row>
    <row r="758" spans="1:10" x14ac:dyDescent="0.2">
      <c r="A758" t="s">
        <v>11</v>
      </c>
      <c r="B758" t="s">
        <v>588</v>
      </c>
      <c r="C758" s="1">
        <v>45359</v>
      </c>
      <c r="D758" t="s">
        <v>115</v>
      </c>
      <c r="E758">
        <v>100</v>
      </c>
      <c r="F758" s="18">
        <v>125</v>
      </c>
      <c r="G758" t="s">
        <v>587</v>
      </c>
      <c r="H758" t="s">
        <v>586</v>
      </c>
      <c r="J758" s="21">
        <f>Table1[[#This Row],[interactions]]/Table1[[#This Row],[Attendance]]</f>
        <v>0.8</v>
      </c>
    </row>
    <row r="759" spans="1:10" x14ac:dyDescent="0.2">
      <c r="A759" t="s">
        <v>15</v>
      </c>
      <c r="B759" t="s">
        <v>70</v>
      </c>
      <c r="C759" s="1">
        <v>44504</v>
      </c>
      <c r="D759" t="s">
        <v>66</v>
      </c>
      <c r="E759">
        <v>20</v>
      </c>
      <c r="F759" s="18">
        <v>25</v>
      </c>
      <c r="G759" t="s">
        <v>71</v>
      </c>
      <c r="H759" t="s">
        <v>22</v>
      </c>
      <c r="I759" t="s">
        <v>631</v>
      </c>
      <c r="J759" s="21">
        <f>Table1[[#This Row],[interactions]]/Table1[[#This Row],[Attendance]]</f>
        <v>0.8</v>
      </c>
    </row>
    <row r="760" spans="1:10" x14ac:dyDescent="0.2">
      <c r="A760" t="s">
        <v>15</v>
      </c>
      <c r="B760" t="s">
        <v>87</v>
      </c>
      <c r="C760" s="1">
        <v>44543</v>
      </c>
      <c r="D760" t="s">
        <v>88</v>
      </c>
      <c r="E760">
        <v>56</v>
      </c>
      <c r="F760" s="18">
        <v>70</v>
      </c>
      <c r="G760" t="s">
        <v>89</v>
      </c>
      <c r="H760" t="s">
        <v>43</v>
      </c>
      <c r="I760" t="s">
        <v>631</v>
      </c>
      <c r="J760" s="21">
        <f>Table1[[#This Row],[interactions]]/Table1[[#This Row],[Attendance]]</f>
        <v>0.8</v>
      </c>
    </row>
    <row r="761" spans="1:10" x14ac:dyDescent="0.2">
      <c r="A761" t="s">
        <v>23</v>
      </c>
      <c r="B761" t="s">
        <v>162</v>
      </c>
      <c r="C761" s="1">
        <v>45050</v>
      </c>
      <c r="D761" t="s">
        <v>480</v>
      </c>
      <c r="E761">
        <v>200</v>
      </c>
      <c r="F761" s="18">
        <v>250</v>
      </c>
      <c r="G761" t="s">
        <v>479</v>
      </c>
      <c r="H761" t="s">
        <v>22</v>
      </c>
      <c r="I761" t="s">
        <v>631</v>
      </c>
      <c r="J761" s="21">
        <f>Table1[[#This Row],[interactions]]/Table1[[#This Row],[Attendance]]</f>
        <v>0.8</v>
      </c>
    </row>
    <row r="762" spans="1:10" x14ac:dyDescent="0.2">
      <c r="A762" t="s">
        <v>23</v>
      </c>
      <c r="B762" t="s">
        <v>585</v>
      </c>
      <c r="C762" s="1">
        <v>45414</v>
      </c>
      <c r="D762" t="s">
        <v>115</v>
      </c>
      <c r="E762">
        <v>400</v>
      </c>
      <c r="F762" s="18">
        <v>500</v>
      </c>
      <c r="G762" t="s">
        <v>584</v>
      </c>
      <c r="H762" t="s">
        <v>583</v>
      </c>
      <c r="J762" s="21">
        <f>Table1[[#This Row],[interactions]]/Table1[[#This Row],[Attendance]]</f>
        <v>0.8</v>
      </c>
    </row>
    <row r="763" spans="1:10" x14ac:dyDescent="0.2">
      <c r="A763" t="s">
        <v>1767</v>
      </c>
      <c r="B763" t="s">
        <v>1531</v>
      </c>
      <c r="C763" s="1">
        <v>45850</v>
      </c>
      <c r="D763" t="s">
        <v>115</v>
      </c>
      <c r="E763">
        <v>400</v>
      </c>
      <c r="F763" s="18">
        <v>500</v>
      </c>
      <c r="H763" t="s">
        <v>621</v>
      </c>
      <c r="I763" t="s">
        <v>1406</v>
      </c>
      <c r="J763" s="21">
        <f>Table1[[#This Row],[interactions]]/Table1[[#This Row],[Attendance]]</f>
        <v>0.8</v>
      </c>
    </row>
    <row r="764" spans="1:10" x14ac:dyDescent="0.2">
      <c r="A764" t="s">
        <v>94</v>
      </c>
      <c r="B764" t="s">
        <v>746</v>
      </c>
      <c r="C764" s="1">
        <v>45581</v>
      </c>
      <c r="D764" t="s">
        <v>94</v>
      </c>
      <c r="E764">
        <v>150</v>
      </c>
      <c r="F764" s="18">
        <v>200</v>
      </c>
      <c r="G764" t="s">
        <v>745</v>
      </c>
      <c r="H764" t="s">
        <v>744</v>
      </c>
      <c r="I764" t="s">
        <v>631</v>
      </c>
      <c r="J764" s="21">
        <f>Table1[[#This Row],[interactions]]/Table1[[#This Row],[Attendance]]</f>
        <v>0.75</v>
      </c>
    </row>
    <row r="765" spans="1:10" x14ac:dyDescent="0.2">
      <c r="A765" t="s">
        <v>11</v>
      </c>
      <c r="B765" t="s">
        <v>994</v>
      </c>
      <c r="C765" s="1">
        <v>45503</v>
      </c>
      <c r="D765" t="s">
        <v>217</v>
      </c>
      <c r="E765">
        <v>15</v>
      </c>
      <c r="F765" s="18">
        <v>20</v>
      </c>
      <c r="H765" t="s">
        <v>993</v>
      </c>
      <c r="I765" t="s">
        <v>596</v>
      </c>
      <c r="J765" s="21">
        <f>Table1[[#This Row],[interactions]]/Table1[[#This Row],[Attendance]]</f>
        <v>0.75</v>
      </c>
    </row>
    <row r="766" spans="1:10" x14ac:dyDescent="0.2">
      <c r="A766" t="s">
        <v>11</v>
      </c>
      <c r="B766" t="s">
        <v>47</v>
      </c>
      <c r="C766" s="1">
        <v>45055</v>
      </c>
      <c r="D766" t="s">
        <v>366</v>
      </c>
      <c r="E766">
        <v>45</v>
      </c>
      <c r="F766" s="18">
        <v>60</v>
      </c>
      <c r="G766" t="s">
        <v>476</v>
      </c>
      <c r="H766" t="s">
        <v>22</v>
      </c>
      <c r="I766" t="s">
        <v>631</v>
      </c>
      <c r="J766" s="21">
        <f>Table1[[#This Row],[interactions]]/Table1[[#This Row],[Attendance]]</f>
        <v>0.75</v>
      </c>
    </row>
    <row r="767" spans="1:10" x14ac:dyDescent="0.2">
      <c r="A767" t="s">
        <v>11</v>
      </c>
      <c r="B767" t="s">
        <v>522</v>
      </c>
      <c r="C767" s="1">
        <v>44991</v>
      </c>
      <c r="D767" t="s">
        <v>366</v>
      </c>
      <c r="E767">
        <v>45</v>
      </c>
      <c r="F767" s="18">
        <v>60</v>
      </c>
      <c r="G767" t="s">
        <v>521</v>
      </c>
      <c r="H767" t="s">
        <v>22</v>
      </c>
      <c r="I767" t="s">
        <v>631</v>
      </c>
      <c r="J767" s="21">
        <f>Table1[[#This Row],[interactions]]/Table1[[#This Row],[Attendance]]</f>
        <v>0.75</v>
      </c>
    </row>
    <row r="768" spans="1:10" x14ac:dyDescent="0.2">
      <c r="A768" t="s">
        <v>15</v>
      </c>
      <c r="B768" t="s">
        <v>159</v>
      </c>
      <c r="C768" s="1">
        <v>44697</v>
      </c>
      <c r="D768" t="s">
        <v>28</v>
      </c>
      <c r="E768">
        <v>75</v>
      </c>
      <c r="F768" s="18">
        <v>100</v>
      </c>
      <c r="G768" t="s">
        <v>158</v>
      </c>
      <c r="H768" t="s">
        <v>10</v>
      </c>
      <c r="I768" t="s">
        <v>631</v>
      </c>
      <c r="J768" s="21">
        <f>Table1[[#This Row],[interactions]]/Table1[[#This Row],[Attendance]]</f>
        <v>0.75</v>
      </c>
    </row>
    <row r="769" spans="1:10" x14ac:dyDescent="0.2">
      <c r="A769" t="s">
        <v>640</v>
      </c>
      <c r="B769" t="s">
        <v>1506</v>
      </c>
      <c r="C769" s="1">
        <v>45884</v>
      </c>
      <c r="D769" t="s">
        <v>115</v>
      </c>
      <c r="E769">
        <v>150</v>
      </c>
      <c r="F769" s="18">
        <v>200</v>
      </c>
      <c r="H769" t="s">
        <v>1465</v>
      </c>
      <c r="I769" t="s">
        <v>679</v>
      </c>
      <c r="J769" s="21">
        <f>Table1[[#This Row],[interactions]]/Table1[[#This Row],[Attendance]]</f>
        <v>0.75</v>
      </c>
    </row>
    <row r="770" spans="1:10" x14ac:dyDescent="0.2">
      <c r="A770" t="s">
        <v>640</v>
      </c>
      <c r="B770" t="s">
        <v>1556</v>
      </c>
      <c r="C770" s="1">
        <v>45820</v>
      </c>
      <c r="D770" t="s">
        <v>115</v>
      </c>
      <c r="E770">
        <v>150</v>
      </c>
      <c r="F770" s="18">
        <v>200</v>
      </c>
      <c r="G770" t="s">
        <v>1555</v>
      </c>
      <c r="H770" t="s">
        <v>621</v>
      </c>
      <c r="I770" t="s">
        <v>631</v>
      </c>
      <c r="J770" s="21">
        <f>Table1[[#This Row],[interactions]]/Table1[[#This Row],[Attendance]]</f>
        <v>0.75</v>
      </c>
    </row>
    <row r="771" spans="1:10" x14ac:dyDescent="0.2">
      <c r="A771" t="s">
        <v>15</v>
      </c>
      <c r="B771" t="s">
        <v>1733</v>
      </c>
      <c r="C771" s="1">
        <v>45008</v>
      </c>
      <c r="D771" t="s">
        <v>1732</v>
      </c>
      <c r="E771">
        <v>100</v>
      </c>
      <c r="F771" s="18">
        <v>135</v>
      </c>
      <c r="G771" t="s">
        <v>100</v>
      </c>
      <c r="H771" t="s">
        <v>452</v>
      </c>
      <c r="I771" t="s">
        <v>631</v>
      </c>
      <c r="J771" s="21">
        <f>Table1[[#This Row],[interactions]]/Table1[[#This Row],[Attendance]]</f>
        <v>0.7407407407407407</v>
      </c>
    </row>
    <row r="772" spans="1:10" x14ac:dyDescent="0.2">
      <c r="A772" t="s">
        <v>11</v>
      </c>
      <c r="B772" t="s">
        <v>1217</v>
      </c>
      <c r="C772" s="1">
        <v>45407</v>
      </c>
      <c r="D772" t="s">
        <v>217</v>
      </c>
      <c r="E772">
        <v>25</v>
      </c>
      <c r="F772" s="18">
        <v>35</v>
      </c>
      <c r="G772" t="s">
        <v>1216</v>
      </c>
      <c r="H772" t="s">
        <v>490</v>
      </c>
      <c r="J772" s="21">
        <f>Table1[[#This Row],[interactions]]/Table1[[#This Row],[Attendance]]</f>
        <v>0.7142857142857143</v>
      </c>
    </row>
    <row r="773" spans="1:10" x14ac:dyDescent="0.2">
      <c r="A773" s="15" t="s">
        <v>11</v>
      </c>
      <c r="B773" t="s">
        <v>1294</v>
      </c>
      <c r="C773" s="1">
        <v>45371</v>
      </c>
      <c r="D773" t="s">
        <v>217</v>
      </c>
      <c r="E773">
        <v>25</v>
      </c>
      <c r="F773" s="18">
        <v>35</v>
      </c>
      <c r="G773" t="s">
        <v>1293</v>
      </c>
      <c r="H773" t="s">
        <v>1292</v>
      </c>
      <c r="J773" s="21">
        <f>Table1[[#This Row],[interactions]]/Table1[[#This Row],[Attendance]]</f>
        <v>0.7142857142857143</v>
      </c>
    </row>
    <row r="774" spans="1:10" x14ac:dyDescent="0.2">
      <c r="A774" s="15" t="s">
        <v>11</v>
      </c>
      <c r="B774" t="s">
        <v>117</v>
      </c>
      <c r="C774" s="1">
        <v>45072</v>
      </c>
      <c r="D774" t="s">
        <v>366</v>
      </c>
      <c r="E774">
        <v>25</v>
      </c>
      <c r="F774" s="18">
        <v>35</v>
      </c>
      <c r="G774" t="s">
        <v>460</v>
      </c>
      <c r="H774" t="s">
        <v>22</v>
      </c>
      <c r="I774" t="s">
        <v>631</v>
      </c>
      <c r="J774" s="21">
        <f>Table1[[#This Row],[interactions]]/Table1[[#This Row],[Attendance]]</f>
        <v>0.7142857142857143</v>
      </c>
    </row>
    <row r="775" spans="1:10" x14ac:dyDescent="0.2">
      <c r="A775" s="15" t="s">
        <v>11</v>
      </c>
      <c r="B775" t="s">
        <v>1383</v>
      </c>
      <c r="C775" s="1">
        <v>46021</v>
      </c>
      <c r="D775" t="s">
        <v>115</v>
      </c>
      <c r="E775">
        <v>350</v>
      </c>
      <c r="F775" s="18">
        <v>500</v>
      </c>
      <c r="I775" t="s">
        <v>660</v>
      </c>
      <c r="J775" s="21">
        <f>Table1[[#This Row],[interactions]]/Table1[[#This Row],[Attendance]]</f>
        <v>0.7</v>
      </c>
    </row>
    <row r="776" spans="1:10" x14ac:dyDescent="0.2">
      <c r="A776" t="s">
        <v>15</v>
      </c>
      <c r="B776" t="s">
        <v>168</v>
      </c>
      <c r="C776" s="1">
        <v>44680</v>
      </c>
      <c r="D776" t="s">
        <v>167</v>
      </c>
      <c r="E776">
        <v>70</v>
      </c>
      <c r="F776" s="18">
        <v>100</v>
      </c>
      <c r="G776" t="s">
        <v>166</v>
      </c>
      <c r="H776" t="s">
        <v>43</v>
      </c>
      <c r="I776" t="s">
        <v>631</v>
      </c>
      <c r="J776" s="21">
        <f>Table1[[#This Row],[interactions]]/Table1[[#This Row],[Attendance]]</f>
        <v>0.7</v>
      </c>
    </row>
    <row r="777" spans="1:10" x14ac:dyDescent="0.2">
      <c r="A777" s="17" t="s">
        <v>366</v>
      </c>
      <c r="B777" t="s">
        <v>1510</v>
      </c>
      <c r="C777" s="1">
        <v>45883</v>
      </c>
      <c r="D777" t="s">
        <v>217</v>
      </c>
      <c r="E777">
        <v>17</v>
      </c>
      <c r="F777" s="18">
        <v>25</v>
      </c>
      <c r="H777" t="s">
        <v>1409</v>
      </c>
      <c r="I777" t="s">
        <v>631</v>
      </c>
      <c r="J777" s="21">
        <f>Table1[[#This Row],[interactions]]/Table1[[#This Row],[Attendance]]</f>
        <v>0.68</v>
      </c>
    </row>
    <row r="778" spans="1:10" x14ac:dyDescent="0.2">
      <c r="A778" t="s">
        <v>94</v>
      </c>
      <c r="B778" t="s">
        <v>291</v>
      </c>
      <c r="C778" s="1">
        <v>45220</v>
      </c>
      <c r="D778" t="s">
        <v>115</v>
      </c>
      <c r="E778">
        <v>200</v>
      </c>
      <c r="F778" s="18">
        <v>300</v>
      </c>
      <c r="G778" t="s">
        <v>290</v>
      </c>
      <c r="H778" t="s">
        <v>219</v>
      </c>
      <c r="I778" t="s">
        <v>631</v>
      </c>
      <c r="J778" s="21">
        <f>Table1[[#This Row],[interactions]]/Table1[[#This Row],[Attendance]]</f>
        <v>0.66666666666666663</v>
      </c>
    </row>
    <row r="779" spans="1:10" x14ac:dyDescent="0.2">
      <c r="A779" t="s">
        <v>11</v>
      </c>
      <c r="B779" t="s">
        <v>831</v>
      </c>
      <c r="C779" s="1">
        <v>45553</v>
      </c>
      <c r="D779" t="s">
        <v>217</v>
      </c>
      <c r="E779">
        <v>10</v>
      </c>
      <c r="F779" s="18">
        <v>15</v>
      </c>
      <c r="G779" t="s">
        <v>830</v>
      </c>
      <c r="H779" t="s">
        <v>797</v>
      </c>
      <c r="I779" t="s">
        <v>735</v>
      </c>
      <c r="J779" s="21">
        <f>Table1[[#This Row],[interactions]]/Table1[[#This Row],[Attendance]]</f>
        <v>0.66666666666666663</v>
      </c>
    </row>
    <row r="780" spans="1:10" x14ac:dyDescent="0.2">
      <c r="A780" t="s">
        <v>11</v>
      </c>
      <c r="B780" t="s">
        <v>1092</v>
      </c>
      <c r="C780" s="1">
        <v>45456</v>
      </c>
      <c r="D780" t="s">
        <v>366</v>
      </c>
      <c r="E780">
        <v>10</v>
      </c>
      <c r="F780" s="18">
        <v>15</v>
      </c>
      <c r="G780" t="s">
        <v>1091</v>
      </c>
      <c r="H780" t="s">
        <v>621</v>
      </c>
      <c r="J780" s="21">
        <f>Table1[[#This Row],[interactions]]/Table1[[#This Row],[Attendance]]</f>
        <v>0.66666666666666663</v>
      </c>
    </row>
    <row r="781" spans="1:10" x14ac:dyDescent="0.2">
      <c r="A781" t="s">
        <v>11</v>
      </c>
      <c r="B781" t="s">
        <v>1237</v>
      </c>
      <c r="C781" s="1">
        <v>45394</v>
      </c>
      <c r="D781" t="s">
        <v>366</v>
      </c>
      <c r="E781">
        <v>10</v>
      </c>
      <c r="F781" s="18">
        <v>15</v>
      </c>
      <c r="G781" t="s">
        <v>1236</v>
      </c>
      <c r="H781" t="s">
        <v>621</v>
      </c>
      <c r="J781" s="21">
        <f>Table1[[#This Row],[interactions]]/Table1[[#This Row],[Attendance]]</f>
        <v>0.66666666666666663</v>
      </c>
    </row>
    <row r="782" spans="1:10" x14ac:dyDescent="0.2">
      <c r="A782" t="s">
        <v>11</v>
      </c>
      <c r="B782" t="s">
        <v>381</v>
      </c>
      <c r="C782" s="1">
        <v>45162</v>
      </c>
      <c r="D782" t="s">
        <v>217</v>
      </c>
      <c r="E782">
        <v>10</v>
      </c>
      <c r="F782" s="18">
        <v>15</v>
      </c>
      <c r="G782" t="s">
        <v>380</v>
      </c>
      <c r="H782" t="s">
        <v>229</v>
      </c>
      <c r="I782" t="s">
        <v>631</v>
      </c>
      <c r="J782" s="21">
        <f>Table1[[#This Row],[interactions]]/Table1[[#This Row],[Attendance]]</f>
        <v>0.66666666666666663</v>
      </c>
    </row>
    <row r="783" spans="1:10" x14ac:dyDescent="0.2">
      <c r="A783" t="s">
        <v>11</v>
      </c>
      <c r="B783" t="s">
        <v>402</v>
      </c>
      <c r="C783" s="1">
        <v>45127</v>
      </c>
      <c r="D783" t="s">
        <v>217</v>
      </c>
      <c r="E783">
        <v>10</v>
      </c>
      <c r="F783" s="18">
        <v>15</v>
      </c>
      <c r="G783" t="s">
        <v>415</v>
      </c>
      <c r="H783" t="s">
        <v>215</v>
      </c>
      <c r="I783" t="s">
        <v>631</v>
      </c>
      <c r="J783" s="21">
        <f>Table1[[#This Row],[interactions]]/Table1[[#This Row],[Attendance]]</f>
        <v>0.66666666666666663</v>
      </c>
    </row>
    <row r="784" spans="1:10" x14ac:dyDescent="0.2">
      <c r="A784" t="s">
        <v>11</v>
      </c>
      <c r="B784" t="s">
        <v>620</v>
      </c>
      <c r="C784" s="1">
        <v>45644</v>
      </c>
      <c r="D784" t="s">
        <v>217</v>
      </c>
      <c r="E784">
        <v>20</v>
      </c>
      <c r="F784" s="18">
        <v>30</v>
      </c>
      <c r="G784" t="s">
        <v>619</v>
      </c>
      <c r="H784" t="s">
        <v>215</v>
      </c>
      <c r="I784" t="s">
        <v>593</v>
      </c>
      <c r="J784" s="21">
        <f>Table1[[#This Row],[interactions]]/Table1[[#This Row],[Attendance]]</f>
        <v>0.66666666666666663</v>
      </c>
    </row>
    <row r="785" spans="1:10" x14ac:dyDescent="0.2">
      <c r="A785" t="s">
        <v>11</v>
      </c>
      <c r="B785" t="s">
        <v>673</v>
      </c>
      <c r="C785" s="1">
        <v>45616</v>
      </c>
      <c r="D785" t="s">
        <v>366</v>
      </c>
      <c r="E785">
        <v>20</v>
      </c>
      <c r="F785" s="18">
        <v>30</v>
      </c>
      <c r="H785" t="s">
        <v>612</v>
      </c>
      <c r="I785" t="s">
        <v>645</v>
      </c>
      <c r="J785" s="21">
        <f>Table1[[#This Row],[interactions]]/Table1[[#This Row],[Attendance]]</f>
        <v>0.66666666666666663</v>
      </c>
    </row>
    <row r="786" spans="1:10" x14ac:dyDescent="0.2">
      <c r="A786" t="s">
        <v>11</v>
      </c>
      <c r="B786" t="s">
        <v>126</v>
      </c>
      <c r="C786" s="1">
        <v>44812</v>
      </c>
      <c r="D786" t="s">
        <v>48</v>
      </c>
      <c r="E786">
        <v>20</v>
      </c>
      <c r="F786" s="18">
        <v>30</v>
      </c>
      <c r="G786" t="s">
        <v>125</v>
      </c>
      <c r="H786" t="s">
        <v>22</v>
      </c>
      <c r="I786" t="s">
        <v>631</v>
      </c>
      <c r="J786" s="21">
        <f>Table1[[#This Row],[interactions]]/Table1[[#This Row],[Attendance]]</f>
        <v>0.66666666666666663</v>
      </c>
    </row>
    <row r="787" spans="1:10" x14ac:dyDescent="0.2">
      <c r="A787" t="s">
        <v>11</v>
      </c>
      <c r="B787" t="s">
        <v>421</v>
      </c>
      <c r="C787" s="1">
        <v>45120</v>
      </c>
      <c r="D787" t="s">
        <v>217</v>
      </c>
      <c r="E787">
        <v>30</v>
      </c>
      <c r="F787" s="18">
        <v>45</v>
      </c>
      <c r="G787" t="s">
        <v>420</v>
      </c>
      <c r="H787" t="s">
        <v>405</v>
      </c>
      <c r="I787" t="s">
        <v>631</v>
      </c>
      <c r="J787" s="21">
        <f>Table1[[#This Row],[interactions]]/Table1[[#This Row],[Attendance]]</f>
        <v>0.66666666666666663</v>
      </c>
    </row>
    <row r="788" spans="1:10" x14ac:dyDescent="0.2">
      <c r="A788" t="s">
        <v>11</v>
      </c>
      <c r="B788" t="s">
        <v>436</v>
      </c>
      <c r="C788" s="1">
        <v>45099</v>
      </c>
      <c r="D788" t="s">
        <v>217</v>
      </c>
      <c r="E788">
        <v>30</v>
      </c>
      <c r="F788" s="18">
        <v>45</v>
      </c>
      <c r="G788" t="s">
        <v>435</v>
      </c>
      <c r="H788" t="s">
        <v>22</v>
      </c>
      <c r="I788" t="s">
        <v>631</v>
      </c>
      <c r="J788" s="21">
        <f>Table1[[#This Row],[interactions]]/Table1[[#This Row],[Attendance]]</f>
        <v>0.66666666666666663</v>
      </c>
    </row>
    <row r="789" spans="1:10" x14ac:dyDescent="0.2">
      <c r="A789" t="s">
        <v>11</v>
      </c>
      <c r="B789" t="s">
        <v>200</v>
      </c>
      <c r="C789" s="1">
        <v>44623</v>
      </c>
      <c r="D789" t="s">
        <v>48</v>
      </c>
      <c r="E789">
        <v>30</v>
      </c>
      <c r="F789" s="18">
        <v>45</v>
      </c>
      <c r="G789" t="s">
        <v>103</v>
      </c>
      <c r="H789" t="s">
        <v>22</v>
      </c>
      <c r="I789" t="s">
        <v>631</v>
      </c>
      <c r="J789" s="21">
        <f>Table1[[#This Row],[interactions]]/Table1[[#This Row],[Attendance]]</f>
        <v>0.66666666666666663</v>
      </c>
    </row>
    <row r="790" spans="1:10" x14ac:dyDescent="0.2">
      <c r="A790" t="s">
        <v>11</v>
      </c>
      <c r="B790" t="s">
        <v>801</v>
      </c>
      <c r="C790" s="1">
        <v>45561</v>
      </c>
      <c r="D790" t="s">
        <v>115</v>
      </c>
      <c r="E790">
        <v>50</v>
      </c>
      <c r="F790" s="18">
        <v>75</v>
      </c>
      <c r="G790" t="s">
        <v>800</v>
      </c>
      <c r="H790" t="s">
        <v>799</v>
      </c>
      <c r="I790" t="s">
        <v>802</v>
      </c>
      <c r="J790" s="21">
        <f>Table1[[#This Row],[interactions]]/Table1[[#This Row],[Attendance]]</f>
        <v>0.66666666666666663</v>
      </c>
    </row>
    <row r="791" spans="1:10" x14ac:dyDescent="0.2">
      <c r="A791" t="s">
        <v>11</v>
      </c>
      <c r="B791" t="s">
        <v>468</v>
      </c>
      <c r="C791" s="1">
        <v>45064</v>
      </c>
      <c r="D791" t="s">
        <v>366</v>
      </c>
      <c r="E791">
        <v>50</v>
      </c>
      <c r="F791" s="18">
        <v>75</v>
      </c>
      <c r="G791" t="s">
        <v>467</v>
      </c>
      <c r="H791" t="s">
        <v>22</v>
      </c>
      <c r="I791" t="s">
        <v>631</v>
      </c>
      <c r="J791" s="21">
        <f>Table1[[#This Row],[interactions]]/Table1[[#This Row],[Attendance]]</f>
        <v>0.66666666666666663</v>
      </c>
    </row>
    <row r="792" spans="1:10" x14ac:dyDescent="0.2">
      <c r="A792" t="s">
        <v>11</v>
      </c>
      <c r="B792" t="s">
        <v>1547</v>
      </c>
      <c r="C792" s="1">
        <v>45833</v>
      </c>
      <c r="D792" t="s">
        <v>115</v>
      </c>
      <c r="E792">
        <v>80</v>
      </c>
      <c r="F792" s="18">
        <v>120</v>
      </c>
      <c r="H792" t="s">
        <v>1546</v>
      </c>
      <c r="I792" t="s">
        <v>648</v>
      </c>
      <c r="J792" s="21">
        <f>Table1[[#This Row],[interactions]]/Table1[[#This Row],[Attendance]]</f>
        <v>0.66666666666666663</v>
      </c>
    </row>
    <row r="793" spans="1:10" x14ac:dyDescent="0.2">
      <c r="A793" t="s">
        <v>11</v>
      </c>
      <c r="B793" t="s">
        <v>1592</v>
      </c>
      <c r="C793" s="1">
        <v>45743</v>
      </c>
      <c r="D793" t="s">
        <v>115</v>
      </c>
      <c r="E793">
        <v>100</v>
      </c>
      <c r="F793" s="18">
        <v>150</v>
      </c>
      <c r="H793" t="s">
        <v>936</v>
      </c>
      <c r="I793" t="s">
        <v>642</v>
      </c>
      <c r="J793" s="21">
        <f>Table1[[#This Row],[interactions]]/Table1[[#This Row],[Attendance]]</f>
        <v>0.66666666666666663</v>
      </c>
    </row>
    <row r="794" spans="1:10" x14ac:dyDescent="0.2">
      <c r="A794" t="s">
        <v>782</v>
      </c>
      <c r="B794" t="s">
        <v>1063</v>
      </c>
      <c r="C794" s="1">
        <v>45475</v>
      </c>
      <c r="D794" t="s">
        <v>366</v>
      </c>
      <c r="E794">
        <v>8</v>
      </c>
      <c r="F794" s="18">
        <v>12</v>
      </c>
      <c r="G794" t="s">
        <v>1062</v>
      </c>
      <c r="H794" t="s">
        <v>621</v>
      </c>
      <c r="I794" t="s">
        <v>663</v>
      </c>
      <c r="J794" s="21">
        <f>Table1[[#This Row],[interactions]]/Table1[[#This Row],[Attendance]]</f>
        <v>0.66666666666666663</v>
      </c>
    </row>
    <row r="795" spans="1:10" x14ac:dyDescent="0.2">
      <c r="A795" t="s">
        <v>15</v>
      </c>
      <c r="B795" t="s">
        <v>1875</v>
      </c>
      <c r="C795" s="1">
        <v>45792</v>
      </c>
      <c r="D795" t="s">
        <v>1874</v>
      </c>
      <c r="E795">
        <v>80</v>
      </c>
      <c r="F795" s="18">
        <v>120</v>
      </c>
      <c r="H795" t="s">
        <v>621</v>
      </c>
      <c r="I795" t="s">
        <v>631</v>
      </c>
      <c r="J795" s="21">
        <f>Table1[[#This Row],[interactions]]/Table1[[#This Row],[Attendance]]</f>
        <v>0.66666666666666663</v>
      </c>
    </row>
    <row r="796" spans="1:10" x14ac:dyDescent="0.2">
      <c r="A796" s="17" t="s">
        <v>366</v>
      </c>
      <c r="B796" t="s">
        <v>700</v>
      </c>
      <c r="C796" s="1">
        <v>45608</v>
      </c>
      <c r="D796" t="s">
        <v>217</v>
      </c>
      <c r="E796">
        <v>20</v>
      </c>
      <c r="F796" s="18">
        <v>30</v>
      </c>
      <c r="G796" t="s">
        <v>699</v>
      </c>
      <c r="H796" t="s">
        <v>612</v>
      </c>
      <c r="I796" t="s">
        <v>631</v>
      </c>
      <c r="J796" s="21">
        <f>Table1[[#This Row],[interactions]]/Table1[[#This Row],[Attendance]]</f>
        <v>0.66666666666666663</v>
      </c>
    </row>
    <row r="797" spans="1:10" x14ac:dyDescent="0.2">
      <c r="A797" t="s">
        <v>15</v>
      </c>
      <c r="B797" t="s">
        <v>95</v>
      </c>
      <c r="C797" s="1">
        <v>44912</v>
      </c>
      <c r="D797" t="s">
        <v>94</v>
      </c>
      <c r="E797">
        <v>461</v>
      </c>
      <c r="F797" s="18">
        <v>700</v>
      </c>
      <c r="G797" t="s">
        <v>93</v>
      </c>
      <c r="H797" t="s">
        <v>22</v>
      </c>
      <c r="I797" t="s">
        <v>631</v>
      </c>
      <c r="J797" s="21">
        <f>Table1[[#This Row],[interactions]]/Table1[[#This Row],[Attendance]]</f>
        <v>0.65857142857142859</v>
      </c>
    </row>
    <row r="798" spans="1:10" x14ac:dyDescent="0.2">
      <c r="A798" t="s">
        <v>15</v>
      </c>
      <c r="B798" t="s">
        <v>347</v>
      </c>
      <c r="C798" s="1">
        <v>45556</v>
      </c>
      <c r="D798" t="s">
        <v>94</v>
      </c>
      <c r="E798">
        <v>637</v>
      </c>
      <c r="F798" s="18">
        <v>1000</v>
      </c>
      <c r="G798" t="s">
        <v>826</v>
      </c>
      <c r="H798" t="s">
        <v>744</v>
      </c>
      <c r="I798" t="s">
        <v>660</v>
      </c>
      <c r="J798" s="21">
        <f>Table1[[#This Row],[interactions]]/Table1[[#This Row],[Attendance]]</f>
        <v>0.63700000000000001</v>
      </c>
    </row>
    <row r="799" spans="1:10" x14ac:dyDescent="0.2">
      <c r="A799" t="s">
        <v>94</v>
      </c>
      <c r="B799" t="s">
        <v>373</v>
      </c>
      <c r="C799" s="1">
        <v>45163</v>
      </c>
      <c r="D799" t="s">
        <v>372</v>
      </c>
      <c r="E799">
        <v>125</v>
      </c>
      <c r="F799" s="18">
        <v>200</v>
      </c>
      <c r="G799" t="s">
        <v>371</v>
      </c>
      <c r="H799" t="s">
        <v>370</v>
      </c>
      <c r="I799" t="s">
        <v>631</v>
      </c>
      <c r="J799" s="21">
        <f>Table1[[#This Row],[interactions]]/Table1[[#This Row],[Attendance]]</f>
        <v>0.625</v>
      </c>
    </row>
    <row r="800" spans="1:10" x14ac:dyDescent="0.2">
      <c r="A800" t="s">
        <v>11</v>
      </c>
      <c r="B800" t="s">
        <v>653</v>
      </c>
      <c r="C800" s="1">
        <v>45630</v>
      </c>
      <c r="D800" t="s">
        <v>366</v>
      </c>
      <c r="E800">
        <v>5</v>
      </c>
      <c r="F800" s="18">
        <v>8</v>
      </c>
      <c r="H800" t="s">
        <v>621</v>
      </c>
      <c r="I800" t="s">
        <v>648</v>
      </c>
      <c r="J800" s="21">
        <f>Table1[[#This Row],[interactions]]/Table1[[#This Row],[Attendance]]</f>
        <v>0.625</v>
      </c>
    </row>
    <row r="801" spans="1:10" x14ac:dyDescent="0.2">
      <c r="A801" t="s">
        <v>11</v>
      </c>
      <c r="B801" t="s">
        <v>1034</v>
      </c>
      <c r="C801" s="1">
        <v>45485</v>
      </c>
      <c r="D801" t="s">
        <v>366</v>
      </c>
      <c r="E801">
        <v>10</v>
      </c>
      <c r="F801" s="18">
        <v>16</v>
      </c>
      <c r="G801" t="s">
        <v>1033</v>
      </c>
      <c r="H801" t="s">
        <v>621</v>
      </c>
      <c r="I801" t="s">
        <v>648</v>
      </c>
      <c r="J801" s="21">
        <f>Table1[[#This Row],[interactions]]/Table1[[#This Row],[Attendance]]</f>
        <v>0.625</v>
      </c>
    </row>
    <row r="802" spans="1:10" x14ac:dyDescent="0.2">
      <c r="A802" t="s">
        <v>11</v>
      </c>
      <c r="B802" t="s">
        <v>1545</v>
      </c>
      <c r="C802" s="1">
        <v>45834</v>
      </c>
      <c r="D802" t="s">
        <v>217</v>
      </c>
      <c r="E802">
        <v>25</v>
      </c>
      <c r="F802" s="18">
        <v>40</v>
      </c>
      <c r="H802" t="s">
        <v>490</v>
      </c>
      <c r="I802" t="s">
        <v>729</v>
      </c>
      <c r="J802" s="21">
        <f>Table1[[#This Row],[interactions]]/Table1[[#This Row],[Attendance]]</f>
        <v>0.625</v>
      </c>
    </row>
    <row r="803" spans="1:10" x14ac:dyDescent="0.2">
      <c r="A803" t="s">
        <v>11</v>
      </c>
      <c r="B803" t="s">
        <v>1353</v>
      </c>
      <c r="C803" s="1">
        <v>45309</v>
      </c>
      <c r="D803" t="s">
        <v>115</v>
      </c>
      <c r="E803">
        <v>500</v>
      </c>
      <c r="F803" s="18">
        <v>800</v>
      </c>
      <c r="G803" t="s">
        <v>1352</v>
      </c>
      <c r="H803" t="s">
        <v>685</v>
      </c>
      <c r="J803" s="21">
        <f>Table1[[#This Row],[interactions]]/Table1[[#This Row],[Attendance]]</f>
        <v>0.625</v>
      </c>
    </row>
    <row r="804" spans="1:10" x14ac:dyDescent="0.2">
      <c r="A804" t="s">
        <v>15</v>
      </c>
      <c r="B804" t="s">
        <v>1709</v>
      </c>
      <c r="C804" s="1">
        <v>45092</v>
      </c>
      <c r="D804" t="s">
        <v>1708</v>
      </c>
      <c r="E804">
        <v>25</v>
      </c>
      <c r="F804" s="18">
        <v>40</v>
      </c>
      <c r="H804" t="s">
        <v>452</v>
      </c>
      <c r="I804" t="s">
        <v>631</v>
      </c>
      <c r="J804" s="21">
        <f>Table1[[#This Row],[interactions]]/Table1[[#This Row],[Attendance]]</f>
        <v>0.625</v>
      </c>
    </row>
    <row r="805" spans="1:10" x14ac:dyDescent="0.2">
      <c r="A805" s="17" t="s">
        <v>366</v>
      </c>
      <c r="B805" t="s">
        <v>1568</v>
      </c>
      <c r="C805" s="1">
        <v>45762</v>
      </c>
      <c r="D805" t="s">
        <v>217</v>
      </c>
      <c r="E805">
        <v>25</v>
      </c>
      <c r="F805" s="18">
        <v>40</v>
      </c>
      <c r="H805" t="s">
        <v>1409</v>
      </c>
      <c r="I805" t="s">
        <v>593</v>
      </c>
      <c r="J805" s="21">
        <f>Table1[[#This Row],[interactions]]/Table1[[#This Row],[Attendance]]</f>
        <v>0.625</v>
      </c>
    </row>
    <row r="806" spans="1:10" x14ac:dyDescent="0.2">
      <c r="A806" t="s">
        <v>1692</v>
      </c>
      <c r="B806" t="s">
        <v>1704</v>
      </c>
      <c r="C806" s="1">
        <v>45106</v>
      </c>
      <c r="D806" t="s">
        <v>1703</v>
      </c>
      <c r="E806">
        <v>25</v>
      </c>
      <c r="F806" s="18">
        <v>40</v>
      </c>
      <c r="H806" t="s">
        <v>452</v>
      </c>
      <c r="I806" t="s">
        <v>631</v>
      </c>
      <c r="J806" s="21">
        <f>Table1[[#This Row],[interactions]]/Table1[[#This Row],[Attendance]]</f>
        <v>0.625</v>
      </c>
    </row>
    <row r="807" spans="1:10" x14ac:dyDescent="0.2">
      <c r="A807" t="s">
        <v>11</v>
      </c>
      <c r="B807" t="s">
        <v>30</v>
      </c>
      <c r="C807" s="1">
        <v>44464</v>
      </c>
      <c r="D807" t="s">
        <v>28</v>
      </c>
      <c r="E807">
        <v>310</v>
      </c>
      <c r="F807" s="18">
        <v>500</v>
      </c>
      <c r="G807" t="s">
        <v>31</v>
      </c>
      <c r="H807" t="s">
        <v>10</v>
      </c>
      <c r="I807" t="s">
        <v>631</v>
      </c>
      <c r="J807" s="21">
        <f>Table1[[#This Row],[interactions]]/Table1[[#This Row],[Attendance]]</f>
        <v>0.62</v>
      </c>
    </row>
    <row r="808" spans="1:10" x14ac:dyDescent="0.2">
      <c r="A808" s="17" t="s">
        <v>366</v>
      </c>
      <c r="B808" t="s">
        <v>700</v>
      </c>
      <c r="C808" s="1">
        <v>45944</v>
      </c>
      <c r="D808" t="s">
        <v>217</v>
      </c>
      <c r="E808">
        <v>22</v>
      </c>
      <c r="F808" s="18">
        <v>36</v>
      </c>
      <c r="H808" t="s">
        <v>1409</v>
      </c>
      <c r="I808" t="s">
        <v>1418</v>
      </c>
      <c r="J808" s="21">
        <f>Table1[[#This Row],[interactions]]/Table1[[#This Row],[Attendance]]</f>
        <v>0.61111111111111116</v>
      </c>
    </row>
    <row r="809" spans="1:10" x14ac:dyDescent="0.2">
      <c r="A809" t="s">
        <v>11</v>
      </c>
      <c r="B809" t="s">
        <v>561</v>
      </c>
      <c r="C809" s="1">
        <v>44951</v>
      </c>
      <c r="D809" t="s">
        <v>217</v>
      </c>
      <c r="E809">
        <v>17</v>
      </c>
      <c r="F809" s="18">
        <v>28</v>
      </c>
      <c r="G809" t="s">
        <v>560</v>
      </c>
      <c r="H809" t="s">
        <v>553</v>
      </c>
      <c r="I809" t="s">
        <v>631</v>
      </c>
      <c r="J809" s="21">
        <f>Table1[[#This Row],[interactions]]/Table1[[#This Row],[Attendance]]</f>
        <v>0.6071428571428571</v>
      </c>
    </row>
    <row r="810" spans="1:10" x14ac:dyDescent="0.2">
      <c r="A810" t="s">
        <v>94</v>
      </c>
      <c r="B810" t="s">
        <v>1792</v>
      </c>
      <c r="C810" s="1">
        <v>45420</v>
      </c>
      <c r="D810" t="s">
        <v>1791</v>
      </c>
      <c r="E810">
        <v>300</v>
      </c>
      <c r="F810" s="18">
        <v>500</v>
      </c>
      <c r="H810" t="s">
        <v>685</v>
      </c>
      <c r="I810" t="s">
        <v>631</v>
      </c>
      <c r="J810" s="21">
        <f>Table1[[#This Row],[interactions]]/Table1[[#This Row],[Attendance]]</f>
        <v>0.6</v>
      </c>
    </row>
    <row r="811" spans="1:10" x14ac:dyDescent="0.2">
      <c r="A811" t="s">
        <v>11</v>
      </c>
      <c r="B811" t="s">
        <v>1462</v>
      </c>
      <c r="C811" s="1">
        <v>45918</v>
      </c>
      <c r="D811" t="s">
        <v>217</v>
      </c>
      <c r="E811">
        <v>15</v>
      </c>
      <c r="F811" s="18">
        <v>25</v>
      </c>
      <c r="H811" t="s">
        <v>1404</v>
      </c>
      <c r="I811" t="s">
        <v>666</v>
      </c>
      <c r="J811" s="21">
        <f>Table1[[#This Row],[interactions]]/Table1[[#This Row],[Attendance]]</f>
        <v>0.6</v>
      </c>
    </row>
    <row r="812" spans="1:10" x14ac:dyDescent="0.2">
      <c r="A812" t="s">
        <v>11</v>
      </c>
      <c r="B812" t="s">
        <v>1544</v>
      </c>
      <c r="C812" s="1">
        <v>45834</v>
      </c>
      <c r="D812" t="s">
        <v>366</v>
      </c>
      <c r="E812">
        <v>15</v>
      </c>
      <c r="F812" s="18">
        <v>25</v>
      </c>
      <c r="H812" t="s">
        <v>1409</v>
      </c>
      <c r="I812" t="s">
        <v>614</v>
      </c>
      <c r="J812" s="21">
        <f>Table1[[#This Row],[interactions]]/Table1[[#This Row],[Attendance]]</f>
        <v>0.6</v>
      </c>
    </row>
    <row r="813" spans="1:10" x14ac:dyDescent="0.2">
      <c r="A813" t="s">
        <v>11</v>
      </c>
      <c r="B813" t="s">
        <v>1642</v>
      </c>
      <c r="C813" s="1">
        <v>45687</v>
      </c>
      <c r="D813" t="s">
        <v>366</v>
      </c>
      <c r="E813">
        <v>15</v>
      </c>
      <c r="F813" s="18">
        <v>25</v>
      </c>
      <c r="H813" t="s">
        <v>621</v>
      </c>
      <c r="I813" t="s">
        <v>802</v>
      </c>
      <c r="J813" s="21">
        <f>Table1[[#This Row],[interactions]]/Table1[[#This Row],[Attendance]]</f>
        <v>0.6</v>
      </c>
    </row>
    <row r="814" spans="1:10" x14ac:dyDescent="0.2">
      <c r="A814" t="s">
        <v>11</v>
      </c>
      <c r="B814" t="s">
        <v>877</v>
      </c>
      <c r="C814" s="1">
        <v>45545</v>
      </c>
      <c r="D814" t="s">
        <v>366</v>
      </c>
      <c r="E814">
        <v>15</v>
      </c>
      <c r="F814" s="18">
        <v>25</v>
      </c>
      <c r="G814" t="s">
        <v>876</v>
      </c>
      <c r="H814" t="s">
        <v>612</v>
      </c>
      <c r="I814" t="s">
        <v>704</v>
      </c>
      <c r="J814" s="21">
        <f>Table1[[#This Row],[interactions]]/Table1[[#This Row],[Attendance]]</f>
        <v>0.6</v>
      </c>
    </row>
    <row r="815" spans="1:10" x14ac:dyDescent="0.2">
      <c r="A815" t="s">
        <v>11</v>
      </c>
      <c r="B815" t="s">
        <v>524</v>
      </c>
      <c r="C815" s="1">
        <v>44988</v>
      </c>
      <c r="D815" t="s">
        <v>217</v>
      </c>
      <c r="E815">
        <v>30</v>
      </c>
      <c r="F815" s="18">
        <v>50</v>
      </c>
      <c r="G815" t="s">
        <v>523</v>
      </c>
      <c r="I815" t="s">
        <v>631</v>
      </c>
      <c r="J815" s="21">
        <f>Table1[[#This Row],[interactions]]/Table1[[#This Row],[Attendance]]</f>
        <v>0.6</v>
      </c>
    </row>
    <row r="816" spans="1:10" x14ac:dyDescent="0.2">
      <c r="A816" t="s">
        <v>11</v>
      </c>
      <c r="B816" t="s">
        <v>534</v>
      </c>
      <c r="C816" s="1">
        <v>44978</v>
      </c>
      <c r="D816" t="s">
        <v>217</v>
      </c>
      <c r="E816">
        <v>30</v>
      </c>
      <c r="F816" s="18">
        <v>50</v>
      </c>
      <c r="G816" t="s">
        <v>533</v>
      </c>
      <c r="H816" t="s">
        <v>490</v>
      </c>
      <c r="I816" t="s">
        <v>631</v>
      </c>
      <c r="J816" s="21">
        <f>Table1[[#This Row],[interactions]]/Table1[[#This Row],[Attendance]]</f>
        <v>0.6</v>
      </c>
    </row>
    <row r="817" spans="1:10" x14ac:dyDescent="0.2">
      <c r="A817" t="s">
        <v>11</v>
      </c>
      <c r="B817" t="s">
        <v>19</v>
      </c>
      <c r="C817" s="1">
        <v>44414</v>
      </c>
      <c r="D817" t="s">
        <v>20</v>
      </c>
      <c r="E817">
        <v>30</v>
      </c>
      <c r="F817" s="18">
        <v>50</v>
      </c>
      <c r="G817" t="s">
        <v>21</v>
      </c>
      <c r="H817" t="s">
        <v>22</v>
      </c>
      <c r="I817" t="s">
        <v>631</v>
      </c>
      <c r="J817" s="21">
        <f>Table1[[#This Row],[interactions]]/Table1[[#This Row],[Attendance]]</f>
        <v>0.6</v>
      </c>
    </row>
    <row r="818" spans="1:10" x14ac:dyDescent="0.2">
      <c r="A818" t="s">
        <v>782</v>
      </c>
      <c r="B818" t="s">
        <v>732</v>
      </c>
      <c r="C818" s="1">
        <v>45539</v>
      </c>
      <c r="D818" t="s">
        <v>366</v>
      </c>
      <c r="E818">
        <v>6</v>
      </c>
      <c r="F818" s="18">
        <v>10</v>
      </c>
      <c r="G818" t="s">
        <v>893</v>
      </c>
      <c r="H818" t="s">
        <v>621</v>
      </c>
      <c r="I818" t="s">
        <v>733</v>
      </c>
      <c r="J818" s="21">
        <f>Table1[[#This Row],[interactions]]/Table1[[#This Row],[Attendance]]</f>
        <v>0.6</v>
      </c>
    </row>
    <row r="819" spans="1:10" x14ac:dyDescent="0.2">
      <c r="A819" t="s">
        <v>782</v>
      </c>
      <c r="B819" t="s">
        <v>1207</v>
      </c>
      <c r="C819" s="1">
        <v>45412</v>
      </c>
      <c r="D819" t="s">
        <v>237</v>
      </c>
      <c r="E819">
        <v>15</v>
      </c>
      <c r="F819" s="18">
        <v>25</v>
      </c>
      <c r="G819" t="s">
        <v>1206</v>
      </c>
      <c r="H819" t="s">
        <v>621</v>
      </c>
      <c r="J819" s="21">
        <f>Table1[[#This Row],[interactions]]/Table1[[#This Row],[Attendance]]</f>
        <v>0.6</v>
      </c>
    </row>
    <row r="820" spans="1:10" x14ac:dyDescent="0.2">
      <c r="A820" t="s">
        <v>15</v>
      </c>
      <c r="B820" t="s">
        <v>482</v>
      </c>
      <c r="C820" s="1">
        <v>45047</v>
      </c>
      <c r="D820" t="s">
        <v>366</v>
      </c>
      <c r="E820">
        <v>60</v>
      </c>
      <c r="F820" s="18">
        <v>100</v>
      </c>
      <c r="G820" t="s">
        <v>481</v>
      </c>
      <c r="H820" t="s">
        <v>22</v>
      </c>
      <c r="I820" t="s">
        <v>631</v>
      </c>
      <c r="J820" s="21">
        <f>Table1[[#This Row],[interactions]]/Table1[[#This Row],[Attendance]]</f>
        <v>0.6</v>
      </c>
    </row>
    <row r="821" spans="1:10" x14ac:dyDescent="0.2">
      <c r="A821" t="s">
        <v>366</v>
      </c>
      <c r="B821" t="s">
        <v>1558</v>
      </c>
      <c r="C821" s="1">
        <v>45818</v>
      </c>
      <c r="D821" t="s">
        <v>366</v>
      </c>
      <c r="E821">
        <v>15</v>
      </c>
      <c r="F821" s="18">
        <v>25</v>
      </c>
      <c r="H821" t="s">
        <v>612</v>
      </c>
      <c r="I821" t="s">
        <v>603</v>
      </c>
      <c r="J821" s="21">
        <f>Table1[[#This Row],[interactions]]/Table1[[#This Row],[Attendance]]</f>
        <v>0.6</v>
      </c>
    </row>
    <row r="822" spans="1:10" x14ac:dyDescent="0.2">
      <c r="A822" t="s">
        <v>1381</v>
      </c>
      <c r="B822" t="s">
        <v>1382</v>
      </c>
      <c r="D822" t="s">
        <v>115</v>
      </c>
      <c r="E822">
        <v>15</v>
      </c>
      <c r="F822" s="18">
        <v>25</v>
      </c>
      <c r="I822" t="s">
        <v>690</v>
      </c>
      <c r="J822" s="21">
        <f>Table1[[#This Row],[interactions]]/Table1[[#This Row],[Attendance]]</f>
        <v>0.6</v>
      </c>
    </row>
    <row r="823" spans="1:10" x14ac:dyDescent="0.2">
      <c r="A823" t="s">
        <v>640</v>
      </c>
      <c r="B823" t="s">
        <v>1600</v>
      </c>
      <c r="C823" s="1">
        <v>45736</v>
      </c>
      <c r="D823" t="s">
        <v>115</v>
      </c>
      <c r="E823">
        <v>115</v>
      </c>
      <c r="F823" s="18">
        <v>200</v>
      </c>
      <c r="H823" t="s">
        <v>1599</v>
      </c>
      <c r="I823" t="s">
        <v>1433</v>
      </c>
      <c r="J823" s="21">
        <f>Table1[[#This Row],[interactions]]/Table1[[#This Row],[Attendance]]</f>
        <v>0.57499999999999996</v>
      </c>
    </row>
    <row r="824" spans="1:10" x14ac:dyDescent="0.2">
      <c r="A824" t="s">
        <v>11</v>
      </c>
      <c r="B824" t="s">
        <v>47</v>
      </c>
      <c r="C824" s="1">
        <v>44481</v>
      </c>
      <c r="D824" t="s">
        <v>48</v>
      </c>
      <c r="E824">
        <v>20</v>
      </c>
      <c r="F824" s="18">
        <v>35</v>
      </c>
      <c r="G824" t="s">
        <v>49</v>
      </c>
      <c r="H824" t="s">
        <v>22</v>
      </c>
      <c r="I824" t="s">
        <v>631</v>
      </c>
      <c r="J824" s="21">
        <f>Table1[[#This Row],[interactions]]/Table1[[#This Row],[Attendance]]</f>
        <v>0.5714285714285714</v>
      </c>
    </row>
    <row r="825" spans="1:10" x14ac:dyDescent="0.2">
      <c r="A825" t="s">
        <v>1767</v>
      </c>
      <c r="B825" t="s">
        <v>7</v>
      </c>
      <c r="C825" s="1">
        <v>44393</v>
      </c>
      <c r="D825" t="s">
        <v>8</v>
      </c>
      <c r="E825">
        <v>80</v>
      </c>
      <c r="F825" s="18">
        <v>140</v>
      </c>
      <c r="G825" t="s">
        <v>9</v>
      </c>
      <c r="H825" t="s">
        <v>10</v>
      </c>
      <c r="I825" t="s">
        <v>631</v>
      </c>
      <c r="J825" s="21">
        <f>Table1[[#This Row],[interactions]]/Table1[[#This Row],[Attendance]]</f>
        <v>0.5714285714285714</v>
      </c>
    </row>
    <row r="826" spans="1:10" x14ac:dyDescent="0.2">
      <c r="A826" t="s">
        <v>11</v>
      </c>
      <c r="B826" t="s">
        <v>1536</v>
      </c>
      <c r="C826" s="1">
        <v>45846</v>
      </c>
      <c r="D826" t="s">
        <v>217</v>
      </c>
      <c r="E826">
        <v>14</v>
      </c>
      <c r="F826" s="18">
        <v>26</v>
      </c>
      <c r="H826" t="s">
        <v>1409</v>
      </c>
      <c r="I826" t="s">
        <v>690</v>
      </c>
      <c r="J826" s="21">
        <f>Table1[[#This Row],[interactions]]/Table1[[#This Row],[Attendance]]</f>
        <v>0.53846153846153844</v>
      </c>
    </row>
    <row r="827" spans="1:10" x14ac:dyDescent="0.2">
      <c r="A827" t="s">
        <v>11</v>
      </c>
      <c r="B827" t="s">
        <v>622</v>
      </c>
      <c r="C827" s="1">
        <v>45818</v>
      </c>
      <c r="D827" t="s">
        <v>366</v>
      </c>
      <c r="E827">
        <v>8</v>
      </c>
      <c r="F827" s="18">
        <v>15</v>
      </c>
      <c r="H827" t="s">
        <v>621</v>
      </c>
      <c r="I827" t="s">
        <v>623</v>
      </c>
      <c r="J827" s="21">
        <f>Table1[[#This Row],[interactions]]/Table1[[#This Row],[Attendance]]</f>
        <v>0.53333333333333333</v>
      </c>
    </row>
    <row r="828" spans="1:10" x14ac:dyDescent="0.2">
      <c r="A828" t="s">
        <v>11</v>
      </c>
      <c r="B828" t="s">
        <v>557</v>
      </c>
      <c r="C828" s="1">
        <v>44959</v>
      </c>
      <c r="D828" t="s">
        <v>217</v>
      </c>
      <c r="E828">
        <v>8</v>
      </c>
      <c r="F828" s="18">
        <v>15</v>
      </c>
      <c r="G828" t="s">
        <v>556</v>
      </c>
      <c r="H828" t="s">
        <v>553</v>
      </c>
      <c r="I828" t="s">
        <v>631</v>
      </c>
      <c r="J828" s="21">
        <f>Table1[[#This Row],[interactions]]/Table1[[#This Row],[Attendance]]</f>
        <v>0.53333333333333333</v>
      </c>
    </row>
    <row r="829" spans="1:10" x14ac:dyDescent="0.2">
      <c r="A829" t="s">
        <v>782</v>
      </c>
      <c r="B829" t="s">
        <v>732</v>
      </c>
      <c r="C829" s="1">
        <v>45854</v>
      </c>
      <c r="D829" t="s">
        <v>366</v>
      </c>
      <c r="E829">
        <v>8</v>
      </c>
      <c r="F829" s="18">
        <v>15</v>
      </c>
      <c r="H829" t="s">
        <v>621</v>
      </c>
      <c r="I829" t="s">
        <v>733</v>
      </c>
      <c r="J829" s="21">
        <f>Table1[[#This Row],[interactions]]/Table1[[#This Row],[Attendance]]</f>
        <v>0.53333333333333333</v>
      </c>
    </row>
    <row r="830" spans="1:10" x14ac:dyDescent="0.2">
      <c r="A830" t="s">
        <v>782</v>
      </c>
      <c r="B830" t="s">
        <v>839</v>
      </c>
      <c r="C830" s="1">
        <v>45496</v>
      </c>
      <c r="D830" t="s">
        <v>366</v>
      </c>
      <c r="E830">
        <v>8</v>
      </c>
      <c r="F830" s="18">
        <v>15</v>
      </c>
      <c r="G830" t="s">
        <v>1018</v>
      </c>
      <c r="H830" t="s">
        <v>621</v>
      </c>
      <c r="I830" t="s">
        <v>663</v>
      </c>
      <c r="J830" s="21">
        <f>Table1[[#This Row],[interactions]]/Table1[[#This Row],[Attendance]]</f>
        <v>0.53333333333333333</v>
      </c>
    </row>
    <row r="831" spans="1:10" x14ac:dyDescent="0.2">
      <c r="A831" t="s">
        <v>11</v>
      </c>
      <c r="B831" t="s">
        <v>1524</v>
      </c>
      <c r="C831" s="1">
        <v>45862</v>
      </c>
      <c r="D831" t="s">
        <v>217</v>
      </c>
      <c r="E831">
        <v>21</v>
      </c>
      <c r="F831" s="18">
        <v>40</v>
      </c>
      <c r="H831" t="s">
        <v>1409</v>
      </c>
      <c r="I831" t="s">
        <v>645</v>
      </c>
      <c r="J831" s="21">
        <f>Table1[[#This Row],[interactions]]/Table1[[#This Row],[Attendance]]</f>
        <v>0.52500000000000002</v>
      </c>
    </row>
    <row r="832" spans="1:10" x14ac:dyDescent="0.2">
      <c r="A832" t="s">
        <v>11</v>
      </c>
      <c r="B832" t="s">
        <v>563</v>
      </c>
      <c r="C832" s="1">
        <v>44950</v>
      </c>
      <c r="D832" t="s">
        <v>366</v>
      </c>
      <c r="E832">
        <v>13</v>
      </c>
      <c r="F832" s="18">
        <v>25</v>
      </c>
      <c r="G832" t="s">
        <v>562</v>
      </c>
      <c r="H832" t="s">
        <v>215</v>
      </c>
      <c r="I832" t="s">
        <v>631</v>
      </c>
      <c r="J832" s="21">
        <f>Table1[[#This Row],[interactions]]/Table1[[#This Row],[Attendance]]</f>
        <v>0.52</v>
      </c>
    </row>
    <row r="833" spans="1:10" x14ac:dyDescent="0.2">
      <c r="A833" t="s">
        <v>11</v>
      </c>
      <c r="B833" t="s">
        <v>543</v>
      </c>
      <c r="C833" s="1">
        <v>44972</v>
      </c>
      <c r="D833" t="s">
        <v>217</v>
      </c>
      <c r="E833">
        <v>18</v>
      </c>
      <c r="F833" s="18">
        <v>35</v>
      </c>
      <c r="G833" t="s">
        <v>542</v>
      </c>
      <c r="H833" t="s">
        <v>525</v>
      </c>
      <c r="I833" t="s">
        <v>631</v>
      </c>
      <c r="J833" s="21">
        <f>Table1[[#This Row],[interactions]]/Table1[[#This Row],[Attendance]]</f>
        <v>0.51428571428571423</v>
      </c>
    </row>
    <row r="834" spans="1:10" x14ac:dyDescent="0.2">
      <c r="A834" t="s">
        <v>94</v>
      </c>
      <c r="B834" t="s">
        <v>1711</v>
      </c>
      <c r="C834" s="1">
        <v>45092</v>
      </c>
      <c r="D834" t="s">
        <v>1710</v>
      </c>
      <c r="E834">
        <v>75</v>
      </c>
      <c r="F834" s="18">
        <v>150</v>
      </c>
      <c r="H834" t="s">
        <v>452</v>
      </c>
      <c r="I834" t="s">
        <v>631</v>
      </c>
      <c r="J834" s="21">
        <f>Table1[[#This Row],[interactions]]/Table1[[#This Row],[Attendance]]</f>
        <v>0.5</v>
      </c>
    </row>
    <row r="835" spans="1:10" x14ac:dyDescent="0.2">
      <c r="A835" t="s">
        <v>94</v>
      </c>
      <c r="B835" t="s">
        <v>32</v>
      </c>
      <c r="C835" s="1">
        <v>44468</v>
      </c>
      <c r="D835" t="s">
        <v>33</v>
      </c>
      <c r="E835">
        <v>100</v>
      </c>
      <c r="F835" s="18">
        <v>200</v>
      </c>
      <c r="G835" t="s">
        <v>34</v>
      </c>
      <c r="H835" t="s">
        <v>10</v>
      </c>
      <c r="I835" t="s">
        <v>631</v>
      </c>
      <c r="J835" s="21">
        <f>Table1[[#This Row],[interactions]]/Table1[[#This Row],[Attendance]]</f>
        <v>0.5</v>
      </c>
    </row>
    <row r="836" spans="1:10" x14ac:dyDescent="0.2">
      <c r="A836" t="s">
        <v>11</v>
      </c>
      <c r="B836" t="s">
        <v>820</v>
      </c>
      <c r="C836" s="1">
        <v>45559</v>
      </c>
      <c r="D836" t="s">
        <v>217</v>
      </c>
      <c r="E836">
        <v>3</v>
      </c>
      <c r="F836" s="18">
        <v>6</v>
      </c>
      <c r="G836" t="s">
        <v>819</v>
      </c>
      <c r="H836" t="s">
        <v>215</v>
      </c>
      <c r="I836" t="s">
        <v>603</v>
      </c>
      <c r="J836" s="21">
        <f>Table1[[#This Row],[interactions]]/Table1[[#This Row],[Attendance]]</f>
        <v>0.5</v>
      </c>
    </row>
    <row r="837" spans="1:10" x14ac:dyDescent="0.2">
      <c r="A837" t="s">
        <v>11</v>
      </c>
      <c r="B837" t="s">
        <v>1425</v>
      </c>
      <c r="C837" s="1">
        <v>45939</v>
      </c>
      <c r="D837" t="s">
        <v>217</v>
      </c>
      <c r="E837">
        <v>10</v>
      </c>
      <c r="F837" s="18">
        <v>20</v>
      </c>
      <c r="H837" t="s">
        <v>1404</v>
      </c>
      <c r="I837" t="s">
        <v>1403</v>
      </c>
      <c r="J837" s="21">
        <f>Table1[[#This Row],[interactions]]/Table1[[#This Row],[Attendance]]</f>
        <v>0.5</v>
      </c>
    </row>
    <row r="838" spans="1:10" x14ac:dyDescent="0.2">
      <c r="A838" t="s">
        <v>11</v>
      </c>
      <c r="B838" t="s">
        <v>1615</v>
      </c>
      <c r="C838" s="1">
        <v>45727</v>
      </c>
      <c r="D838" t="s">
        <v>217</v>
      </c>
      <c r="E838">
        <v>10</v>
      </c>
      <c r="F838" s="18">
        <v>20</v>
      </c>
      <c r="H838" t="s">
        <v>1409</v>
      </c>
      <c r="I838" t="s">
        <v>704</v>
      </c>
      <c r="J838" s="21">
        <f>Table1[[#This Row],[interactions]]/Table1[[#This Row],[Attendance]]</f>
        <v>0.5</v>
      </c>
    </row>
    <row r="839" spans="1:10" x14ac:dyDescent="0.2">
      <c r="A839" t="s">
        <v>11</v>
      </c>
      <c r="B839" t="s">
        <v>400</v>
      </c>
      <c r="C839" s="1">
        <v>45644</v>
      </c>
      <c r="D839" t="s">
        <v>217</v>
      </c>
      <c r="E839">
        <v>10</v>
      </c>
      <c r="F839" s="18">
        <v>20</v>
      </c>
      <c r="G839" t="s">
        <v>618</v>
      </c>
      <c r="H839" t="s">
        <v>215</v>
      </c>
      <c r="I839" t="s">
        <v>596</v>
      </c>
      <c r="J839" s="21">
        <f>Table1[[#This Row],[interactions]]/Table1[[#This Row],[Attendance]]</f>
        <v>0.5</v>
      </c>
    </row>
    <row r="840" spans="1:10" x14ac:dyDescent="0.2">
      <c r="A840" t="s">
        <v>11</v>
      </c>
      <c r="B840" t="s">
        <v>1586</v>
      </c>
      <c r="C840" s="1">
        <v>45763</v>
      </c>
      <c r="D840" t="s">
        <v>217</v>
      </c>
      <c r="E840">
        <v>15</v>
      </c>
      <c r="F840" s="18">
        <v>30</v>
      </c>
      <c r="H840" t="s">
        <v>649</v>
      </c>
      <c r="I840" t="s">
        <v>593</v>
      </c>
      <c r="J840" s="21">
        <f>Table1[[#This Row],[interactions]]/Table1[[#This Row],[Attendance]]</f>
        <v>0.5</v>
      </c>
    </row>
    <row r="841" spans="1:10" x14ac:dyDescent="0.2">
      <c r="A841" t="s">
        <v>11</v>
      </c>
      <c r="B841" t="s">
        <v>922</v>
      </c>
      <c r="C841" s="1">
        <v>45400</v>
      </c>
      <c r="D841" t="s">
        <v>217</v>
      </c>
      <c r="E841">
        <v>15</v>
      </c>
      <c r="F841" s="18">
        <v>30</v>
      </c>
      <c r="G841" t="s">
        <v>1225</v>
      </c>
      <c r="J841" s="21">
        <f>Table1[[#This Row],[interactions]]/Table1[[#This Row],[Attendance]]</f>
        <v>0.5</v>
      </c>
    </row>
    <row r="842" spans="1:10" x14ac:dyDescent="0.2">
      <c r="A842" t="s">
        <v>11</v>
      </c>
      <c r="B842" t="s">
        <v>547</v>
      </c>
      <c r="C842" s="1">
        <v>44971</v>
      </c>
      <c r="D842" t="s">
        <v>217</v>
      </c>
      <c r="E842">
        <v>15</v>
      </c>
      <c r="F842" s="18">
        <v>30</v>
      </c>
      <c r="G842" t="s">
        <v>546</v>
      </c>
      <c r="H842" t="s">
        <v>525</v>
      </c>
      <c r="I842" t="s">
        <v>631</v>
      </c>
      <c r="J842" s="21">
        <f>Table1[[#This Row],[interactions]]/Table1[[#This Row],[Attendance]]</f>
        <v>0.5</v>
      </c>
    </row>
    <row r="843" spans="1:10" x14ac:dyDescent="0.2">
      <c r="A843" t="s">
        <v>11</v>
      </c>
      <c r="B843" t="s">
        <v>568</v>
      </c>
      <c r="C843" s="1">
        <v>44945</v>
      </c>
      <c r="D843" t="s">
        <v>366</v>
      </c>
      <c r="E843">
        <v>15</v>
      </c>
      <c r="F843" s="18">
        <v>30</v>
      </c>
      <c r="G843" t="s">
        <v>567</v>
      </c>
      <c r="H843" t="s">
        <v>553</v>
      </c>
      <c r="I843" t="s">
        <v>631</v>
      </c>
      <c r="J843" s="21">
        <f>Table1[[#This Row],[interactions]]/Table1[[#This Row],[Attendance]]</f>
        <v>0.5</v>
      </c>
    </row>
    <row r="844" spans="1:10" x14ac:dyDescent="0.2">
      <c r="A844" t="s">
        <v>11</v>
      </c>
      <c r="B844" t="s">
        <v>578</v>
      </c>
      <c r="C844" s="1">
        <v>44930</v>
      </c>
      <c r="D844" t="s">
        <v>577</v>
      </c>
      <c r="E844">
        <v>15</v>
      </c>
      <c r="F844" s="18">
        <v>30</v>
      </c>
      <c r="G844" t="s">
        <v>576</v>
      </c>
      <c r="I844" t="s">
        <v>631</v>
      </c>
      <c r="J844" s="21">
        <f>Table1[[#This Row],[interactions]]/Table1[[#This Row],[Attendance]]</f>
        <v>0.5</v>
      </c>
    </row>
    <row r="845" spans="1:10" x14ac:dyDescent="0.2">
      <c r="A845" t="s">
        <v>11</v>
      </c>
      <c r="B845" t="s">
        <v>809</v>
      </c>
      <c r="C845" s="1">
        <v>45560</v>
      </c>
      <c r="D845" t="s">
        <v>217</v>
      </c>
      <c r="E845">
        <v>20</v>
      </c>
      <c r="F845" s="18">
        <v>40</v>
      </c>
      <c r="G845" t="s">
        <v>808</v>
      </c>
      <c r="H845" t="s">
        <v>612</v>
      </c>
      <c r="I845" t="s">
        <v>666</v>
      </c>
      <c r="J845" s="21">
        <f>Table1[[#This Row],[interactions]]/Table1[[#This Row],[Attendance]]</f>
        <v>0.5</v>
      </c>
    </row>
    <row r="846" spans="1:10" x14ac:dyDescent="0.2">
      <c r="A846" t="s">
        <v>11</v>
      </c>
      <c r="B846" t="s">
        <v>574</v>
      </c>
      <c r="C846" s="1">
        <v>44938</v>
      </c>
      <c r="D846" t="s">
        <v>366</v>
      </c>
      <c r="E846">
        <v>20</v>
      </c>
      <c r="F846" s="18">
        <v>40</v>
      </c>
      <c r="G846" t="s">
        <v>573</v>
      </c>
      <c r="H846" t="s">
        <v>22</v>
      </c>
      <c r="I846" t="s">
        <v>631</v>
      </c>
      <c r="J846" s="21">
        <f>Table1[[#This Row],[interactions]]/Table1[[#This Row],[Attendance]]</f>
        <v>0.5</v>
      </c>
    </row>
    <row r="847" spans="1:10" x14ac:dyDescent="0.2">
      <c r="A847" t="s">
        <v>11</v>
      </c>
      <c r="B847" t="s">
        <v>143</v>
      </c>
      <c r="C847" s="1">
        <v>44728</v>
      </c>
      <c r="D847" t="s">
        <v>48</v>
      </c>
      <c r="E847">
        <v>20</v>
      </c>
      <c r="F847" s="18">
        <v>40</v>
      </c>
      <c r="G847" t="s">
        <v>140</v>
      </c>
      <c r="H847" t="s">
        <v>22</v>
      </c>
      <c r="I847" t="s">
        <v>631</v>
      </c>
      <c r="J847" s="21">
        <f>Table1[[#This Row],[interactions]]/Table1[[#This Row],[Attendance]]</f>
        <v>0.5</v>
      </c>
    </row>
    <row r="848" spans="1:10" x14ac:dyDescent="0.2">
      <c r="A848" t="s">
        <v>11</v>
      </c>
      <c r="B848" t="s">
        <v>1491</v>
      </c>
      <c r="C848" s="1">
        <v>45898</v>
      </c>
      <c r="D848" t="s">
        <v>217</v>
      </c>
      <c r="E848">
        <v>25</v>
      </c>
      <c r="F848" s="18">
        <v>50</v>
      </c>
      <c r="H848" t="s">
        <v>649</v>
      </c>
      <c r="I848" t="s">
        <v>666</v>
      </c>
      <c r="J848" s="21">
        <f>Table1[[#This Row],[interactions]]/Table1[[#This Row],[Attendance]]</f>
        <v>0.5</v>
      </c>
    </row>
    <row r="849" spans="1:10" x14ac:dyDescent="0.2">
      <c r="A849" t="s">
        <v>11</v>
      </c>
      <c r="B849" t="s">
        <v>47</v>
      </c>
      <c r="C849" s="1">
        <v>44971</v>
      </c>
      <c r="D849" t="s">
        <v>366</v>
      </c>
      <c r="E849">
        <v>30</v>
      </c>
      <c r="F849" s="18">
        <v>60</v>
      </c>
      <c r="G849" t="s">
        <v>548</v>
      </c>
      <c r="H849" t="s">
        <v>490</v>
      </c>
      <c r="I849" t="s">
        <v>631</v>
      </c>
      <c r="J849" s="21">
        <f>Table1[[#This Row],[interactions]]/Table1[[#This Row],[Attendance]]</f>
        <v>0.5</v>
      </c>
    </row>
    <row r="850" spans="1:10" x14ac:dyDescent="0.2">
      <c r="A850" t="s">
        <v>11</v>
      </c>
      <c r="B850" t="s">
        <v>903</v>
      </c>
      <c r="C850" s="1">
        <v>45533</v>
      </c>
      <c r="D850" t="s">
        <v>94</v>
      </c>
      <c r="E850">
        <v>250</v>
      </c>
      <c r="F850" s="18">
        <v>500</v>
      </c>
      <c r="G850" t="s">
        <v>902</v>
      </c>
      <c r="H850" t="s">
        <v>612</v>
      </c>
      <c r="I850" t="s">
        <v>704</v>
      </c>
      <c r="J850" s="21">
        <f>Table1[[#This Row],[interactions]]/Table1[[#This Row],[Attendance]]</f>
        <v>0.5</v>
      </c>
    </row>
    <row r="851" spans="1:10" x14ac:dyDescent="0.2">
      <c r="A851" t="s">
        <v>782</v>
      </c>
      <c r="B851" t="s">
        <v>298</v>
      </c>
      <c r="C851" s="1">
        <v>45566</v>
      </c>
      <c r="D851" t="s">
        <v>366</v>
      </c>
      <c r="E851">
        <v>6</v>
      </c>
      <c r="F851" s="18">
        <v>12</v>
      </c>
      <c r="G851" t="s">
        <v>793</v>
      </c>
      <c r="H851" t="s">
        <v>621</v>
      </c>
      <c r="I851" t="s">
        <v>663</v>
      </c>
      <c r="J851" s="21">
        <f>Table1[[#This Row],[interactions]]/Table1[[#This Row],[Attendance]]</f>
        <v>0.5</v>
      </c>
    </row>
    <row r="852" spans="1:10" x14ac:dyDescent="0.2">
      <c r="A852" t="s">
        <v>782</v>
      </c>
      <c r="B852" t="s">
        <v>298</v>
      </c>
      <c r="C852" s="1">
        <v>45482</v>
      </c>
      <c r="D852" t="s">
        <v>366</v>
      </c>
      <c r="E852">
        <v>8</v>
      </c>
      <c r="F852" s="18">
        <v>16</v>
      </c>
      <c r="G852" t="s">
        <v>1058</v>
      </c>
      <c r="H852" t="s">
        <v>621</v>
      </c>
      <c r="I852" t="s">
        <v>663</v>
      </c>
      <c r="J852" s="21">
        <f>Table1[[#This Row],[interactions]]/Table1[[#This Row],[Attendance]]</f>
        <v>0.5</v>
      </c>
    </row>
    <row r="853" spans="1:10" x14ac:dyDescent="0.2">
      <c r="A853" t="s">
        <v>15</v>
      </c>
      <c r="B853" t="s">
        <v>44</v>
      </c>
      <c r="C853" s="1">
        <v>44478</v>
      </c>
      <c r="D853" t="s">
        <v>45</v>
      </c>
      <c r="E853">
        <v>500</v>
      </c>
      <c r="F853" s="18">
        <v>1000</v>
      </c>
      <c r="G853" t="s">
        <v>46</v>
      </c>
      <c r="H853" t="s">
        <v>10</v>
      </c>
      <c r="I853" t="s">
        <v>631</v>
      </c>
      <c r="J853" s="21">
        <f>Table1[[#This Row],[interactions]]/Table1[[#This Row],[Attendance]]</f>
        <v>0.5</v>
      </c>
    </row>
    <row r="854" spans="1:10" x14ac:dyDescent="0.2">
      <c r="A854" t="s">
        <v>23</v>
      </c>
      <c r="B854" t="s">
        <v>518</v>
      </c>
      <c r="C854" s="1">
        <v>44992</v>
      </c>
      <c r="D854" t="s">
        <v>366</v>
      </c>
      <c r="E854">
        <v>100</v>
      </c>
      <c r="F854" s="18">
        <v>200</v>
      </c>
      <c r="G854" t="s">
        <v>517</v>
      </c>
      <c r="H854" t="s">
        <v>490</v>
      </c>
      <c r="I854" t="s">
        <v>631</v>
      </c>
      <c r="J854" s="21">
        <f>Table1[[#This Row],[interactions]]/Table1[[#This Row],[Attendance]]</f>
        <v>0.5</v>
      </c>
    </row>
    <row r="855" spans="1:10" x14ac:dyDescent="0.2">
      <c r="A855" t="s">
        <v>1767</v>
      </c>
      <c r="B855" t="s">
        <v>1766</v>
      </c>
      <c r="C855" s="1">
        <v>45575</v>
      </c>
      <c r="D855" t="s">
        <v>1765</v>
      </c>
      <c r="E855">
        <v>75</v>
      </c>
      <c r="F855" s="18">
        <v>150</v>
      </c>
      <c r="G855" t="s">
        <v>1764</v>
      </c>
      <c r="H855" t="s">
        <v>1763</v>
      </c>
      <c r="I855" t="s">
        <v>631</v>
      </c>
      <c r="J855" s="21">
        <f>Table1[[#This Row],[interactions]]/Table1[[#This Row],[Attendance]]</f>
        <v>0.5</v>
      </c>
    </row>
    <row r="856" spans="1:10" x14ac:dyDescent="0.2">
      <c r="A856" s="17" t="s">
        <v>366</v>
      </c>
      <c r="B856" t="s">
        <v>1568</v>
      </c>
      <c r="C856" s="1">
        <v>45699</v>
      </c>
      <c r="D856" t="s">
        <v>217</v>
      </c>
      <c r="E856">
        <v>14</v>
      </c>
      <c r="F856" s="18">
        <v>28</v>
      </c>
      <c r="H856" t="s">
        <v>1409</v>
      </c>
      <c r="I856" t="s">
        <v>1540</v>
      </c>
      <c r="J856" s="21">
        <f>Table1[[#This Row],[interactions]]/Table1[[#This Row],[Attendance]]</f>
        <v>0.5</v>
      </c>
    </row>
    <row r="857" spans="1:10" x14ac:dyDescent="0.2">
      <c r="A857" t="s">
        <v>366</v>
      </c>
      <c r="B857" t="s">
        <v>1568</v>
      </c>
      <c r="C857" s="1">
        <v>45790</v>
      </c>
      <c r="D857" t="s">
        <v>366</v>
      </c>
      <c r="E857">
        <v>20</v>
      </c>
      <c r="F857" s="18">
        <v>40</v>
      </c>
      <c r="H857" t="s">
        <v>1409</v>
      </c>
      <c r="I857" t="s">
        <v>593</v>
      </c>
      <c r="J857" s="21">
        <f>Table1[[#This Row],[interactions]]/Table1[[#This Row],[Attendance]]</f>
        <v>0.5</v>
      </c>
    </row>
    <row r="858" spans="1:10" x14ac:dyDescent="0.2">
      <c r="A858" s="17" t="s">
        <v>366</v>
      </c>
      <c r="B858" t="s">
        <v>1661</v>
      </c>
      <c r="C858" s="1">
        <v>45671</v>
      </c>
      <c r="D858" t="s">
        <v>217</v>
      </c>
      <c r="E858">
        <v>25</v>
      </c>
      <c r="F858" s="18">
        <v>50</v>
      </c>
      <c r="H858" t="s">
        <v>1409</v>
      </c>
      <c r="I858" t="s">
        <v>631</v>
      </c>
      <c r="J858" s="21">
        <f>Table1[[#This Row],[interactions]]/Table1[[#This Row],[Attendance]]</f>
        <v>0.5</v>
      </c>
    </row>
    <row r="859" spans="1:10" x14ac:dyDescent="0.2">
      <c r="A859" t="s">
        <v>11</v>
      </c>
      <c r="B859" t="s">
        <v>912</v>
      </c>
      <c r="C859" s="1">
        <v>45685</v>
      </c>
      <c r="D859" t="s">
        <v>217</v>
      </c>
      <c r="E859">
        <v>12</v>
      </c>
      <c r="F859" s="18">
        <v>25</v>
      </c>
      <c r="H859" t="s">
        <v>1409</v>
      </c>
      <c r="I859" t="s">
        <v>636</v>
      </c>
      <c r="J859" s="21">
        <f>Table1[[#This Row],[interactions]]/Table1[[#This Row],[Attendance]]</f>
        <v>0.48</v>
      </c>
    </row>
    <row r="860" spans="1:10" x14ac:dyDescent="0.2">
      <c r="A860" t="s">
        <v>15</v>
      </c>
      <c r="B860" t="s">
        <v>900</v>
      </c>
      <c r="C860" s="1">
        <v>45538</v>
      </c>
      <c r="D860" t="s">
        <v>366</v>
      </c>
      <c r="E860">
        <v>5</v>
      </c>
      <c r="F860" s="18">
        <v>11</v>
      </c>
      <c r="G860" t="s">
        <v>899</v>
      </c>
      <c r="H860" t="s">
        <v>621</v>
      </c>
      <c r="I860" t="s">
        <v>625</v>
      </c>
      <c r="J860" s="21">
        <f>Table1[[#This Row],[interactions]]/Table1[[#This Row],[Attendance]]</f>
        <v>0.45454545454545453</v>
      </c>
    </row>
    <row r="861" spans="1:10" x14ac:dyDescent="0.2">
      <c r="A861" t="s">
        <v>11</v>
      </c>
      <c r="B861" t="s">
        <v>702</v>
      </c>
      <c r="C861" s="1">
        <v>45608</v>
      </c>
      <c r="D861" t="s">
        <v>217</v>
      </c>
      <c r="E861">
        <v>20</v>
      </c>
      <c r="F861" s="18">
        <v>45</v>
      </c>
      <c r="G861" t="s">
        <v>701</v>
      </c>
      <c r="H861" t="s">
        <v>612</v>
      </c>
      <c r="I861" t="s">
        <v>636</v>
      </c>
      <c r="J861" s="21">
        <f>Table1[[#This Row],[interactions]]/Table1[[#This Row],[Attendance]]</f>
        <v>0.44444444444444442</v>
      </c>
    </row>
    <row r="862" spans="1:10" x14ac:dyDescent="0.2">
      <c r="A862" t="s">
        <v>15</v>
      </c>
      <c r="B862" t="s">
        <v>90</v>
      </c>
      <c r="C862" s="1">
        <v>44544</v>
      </c>
      <c r="D862" t="s">
        <v>91</v>
      </c>
      <c r="E862">
        <v>87</v>
      </c>
      <c r="F862" s="18">
        <v>200</v>
      </c>
      <c r="G862" t="s">
        <v>92</v>
      </c>
      <c r="H862" t="s">
        <v>10</v>
      </c>
      <c r="I862" t="s">
        <v>631</v>
      </c>
      <c r="J862" s="21">
        <f>Table1[[#This Row],[interactions]]/Table1[[#This Row],[Attendance]]</f>
        <v>0.435</v>
      </c>
    </row>
    <row r="863" spans="1:10" x14ac:dyDescent="0.2">
      <c r="A863" t="s">
        <v>11</v>
      </c>
      <c r="B863" t="s">
        <v>1549</v>
      </c>
      <c r="C863" s="1">
        <v>45833</v>
      </c>
      <c r="D863" t="s">
        <v>217</v>
      </c>
      <c r="E863">
        <v>15</v>
      </c>
      <c r="F863" s="18">
        <v>35</v>
      </c>
      <c r="H863" t="s">
        <v>490</v>
      </c>
      <c r="I863" t="s">
        <v>657</v>
      </c>
      <c r="J863" s="21">
        <f>Table1[[#This Row],[interactions]]/Table1[[#This Row],[Attendance]]</f>
        <v>0.42857142857142855</v>
      </c>
    </row>
    <row r="864" spans="1:10" x14ac:dyDescent="0.2">
      <c r="A864" t="s">
        <v>11</v>
      </c>
      <c r="B864" t="s">
        <v>1056</v>
      </c>
      <c r="C864" s="1">
        <v>45482</v>
      </c>
      <c r="D864" t="s">
        <v>217</v>
      </c>
      <c r="E864">
        <v>15</v>
      </c>
      <c r="F864" s="18">
        <v>35</v>
      </c>
      <c r="G864" t="s">
        <v>1055</v>
      </c>
      <c r="H864" t="s">
        <v>612</v>
      </c>
      <c r="I864" t="s">
        <v>645</v>
      </c>
      <c r="J864" s="21">
        <f>Table1[[#This Row],[interactions]]/Table1[[#This Row],[Attendance]]</f>
        <v>0.42857142857142855</v>
      </c>
    </row>
    <row r="865" spans="1:10" x14ac:dyDescent="0.2">
      <c r="A865" t="s">
        <v>11</v>
      </c>
      <c r="B865" t="s">
        <v>489</v>
      </c>
      <c r="C865" s="1">
        <v>46125</v>
      </c>
      <c r="D865" t="s">
        <v>366</v>
      </c>
      <c r="E865">
        <v>30</v>
      </c>
      <c r="F865" s="18">
        <v>70</v>
      </c>
      <c r="G865" t="s">
        <v>488</v>
      </c>
      <c r="H865" t="s">
        <v>215</v>
      </c>
      <c r="I865" t="s">
        <v>631</v>
      </c>
      <c r="J865" s="21">
        <f>Table1[[#This Row],[interactions]]/Table1[[#This Row],[Attendance]]</f>
        <v>0.42857142857142855</v>
      </c>
    </row>
    <row r="866" spans="1:10" x14ac:dyDescent="0.2">
      <c r="A866" t="s">
        <v>11</v>
      </c>
      <c r="B866" t="s">
        <v>335</v>
      </c>
      <c r="C866" s="1">
        <v>45196</v>
      </c>
      <c r="D866" t="s">
        <v>334</v>
      </c>
      <c r="E866">
        <v>150</v>
      </c>
      <c r="F866" s="18">
        <v>350</v>
      </c>
      <c r="G866" t="s">
        <v>333</v>
      </c>
      <c r="H866" t="s">
        <v>332</v>
      </c>
      <c r="I866" t="s">
        <v>631</v>
      </c>
      <c r="J866" s="21">
        <f>Table1[[#This Row],[interactions]]/Table1[[#This Row],[Attendance]]</f>
        <v>0.42857142857142855</v>
      </c>
    </row>
    <row r="867" spans="1:10" x14ac:dyDescent="0.2">
      <c r="A867" t="s">
        <v>15</v>
      </c>
      <c r="B867" t="s">
        <v>73</v>
      </c>
      <c r="C867" s="1">
        <v>44512</v>
      </c>
      <c r="D867" t="s">
        <v>66</v>
      </c>
      <c r="E867">
        <v>15</v>
      </c>
      <c r="F867" s="18">
        <v>35</v>
      </c>
      <c r="G867" t="s">
        <v>74</v>
      </c>
      <c r="H867" t="s">
        <v>10</v>
      </c>
      <c r="I867" t="s">
        <v>631</v>
      </c>
      <c r="J867" s="21">
        <f>Table1[[#This Row],[interactions]]/Table1[[#This Row],[Attendance]]</f>
        <v>0.42857142857142855</v>
      </c>
    </row>
    <row r="868" spans="1:10" x14ac:dyDescent="0.2">
      <c r="A868" t="s">
        <v>11</v>
      </c>
      <c r="B868" t="s">
        <v>622</v>
      </c>
      <c r="C868" s="1">
        <v>45671</v>
      </c>
      <c r="D868" t="s">
        <v>366</v>
      </c>
      <c r="E868">
        <v>5</v>
      </c>
      <c r="F868" s="18">
        <v>12</v>
      </c>
      <c r="H868" t="s">
        <v>621</v>
      </c>
      <c r="I868" t="s">
        <v>623</v>
      </c>
      <c r="J868" s="21">
        <f>Table1[[#This Row],[interactions]]/Table1[[#This Row],[Attendance]]</f>
        <v>0.41666666666666669</v>
      </c>
    </row>
    <row r="869" spans="1:10" x14ac:dyDescent="0.2">
      <c r="A869" t="s">
        <v>782</v>
      </c>
      <c r="B869" t="s">
        <v>732</v>
      </c>
      <c r="C869" s="1">
        <v>45588</v>
      </c>
      <c r="D869" t="s">
        <v>366</v>
      </c>
      <c r="E869">
        <v>5</v>
      </c>
      <c r="F869" s="18">
        <v>12</v>
      </c>
      <c r="G869" t="s">
        <v>731</v>
      </c>
      <c r="H869" t="s">
        <v>621</v>
      </c>
      <c r="I869" t="s">
        <v>733</v>
      </c>
      <c r="J869" s="21">
        <f>Table1[[#This Row],[interactions]]/Table1[[#This Row],[Attendance]]</f>
        <v>0.41666666666666669</v>
      </c>
    </row>
    <row r="870" spans="1:10" x14ac:dyDescent="0.2">
      <c r="A870" t="s">
        <v>782</v>
      </c>
      <c r="B870" t="s">
        <v>298</v>
      </c>
      <c r="C870" s="1">
        <v>45951</v>
      </c>
      <c r="D870" t="s">
        <v>366</v>
      </c>
      <c r="E870">
        <v>25</v>
      </c>
      <c r="F870" s="18">
        <v>60</v>
      </c>
      <c r="H870" t="s">
        <v>621</v>
      </c>
      <c r="I870" t="s">
        <v>663</v>
      </c>
      <c r="J870" s="21">
        <f>Table1[[#This Row],[interactions]]/Table1[[#This Row],[Attendance]]</f>
        <v>0.41666666666666669</v>
      </c>
    </row>
    <row r="871" spans="1:10" x14ac:dyDescent="0.2">
      <c r="A871" t="s">
        <v>11</v>
      </c>
      <c r="B871" t="s">
        <v>622</v>
      </c>
      <c r="C871" s="1">
        <v>45701</v>
      </c>
      <c r="D871" t="s">
        <v>366</v>
      </c>
      <c r="E871">
        <v>8</v>
      </c>
      <c r="F871" s="18">
        <v>20</v>
      </c>
      <c r="H871" t="s">
        <v>621</v>
      </c>
      <c r="I871" t="s">
        <v>623</v>
      </c>
      <c r="J871" s="21">
        <f>Table1[[#This Row],[interactions]]/Table1[[#This Row],[Attendance]]</f>
        <v>0.4</v>
      </c>
    </row>
    <row r="872" spans="1:10" x14ac:dyDescent="0.2">
      <c r="A872" t="s">
        <v>11</v>
      </c>
      <c r="B872" t="s">
        <v>252</v>
      </c>
      <c r="C872" s="1">
        <v>45259</v>
      </c>
      <c r="D872" t="s">
        <v>217</v>
      </c>
      <c r="E872">
        <v>8</v>
      </c>
      <c r="F872" s="18">
        <v>20</v>
      </c>
      <c r="G872" t="s">
        <v>251</v>
      </c>
      <c r="H872" t="s">
        <v>215</v>
      </c>
      <c r="I872" t="s">
        <v>631</v>
      </c>
      <c r="J872" s="21">
        <f>Table1[[#This Row],[interactions]]/Table1[[#This Row],[Attendance]]</f>
        <v>0.4</v>
      </c>
    </row>
    <row r="873" spans="1:10" x14ac:dyDescent="0.2">
      <c r="A873" t="s">
        <v>11</v>
      </c>
      <c r="B873" t="s">
        <v>1617</v>
      </c>
      <c r="C873" s="1">
        <v>45723</v>
      </c>
      <c r="D873" t="s">
        <v>217</v>
      </c>
      <c r="E873">
        <v>10</v>
      </c>
      <c r="F873" s="18">
        <v>25</v>
      </c>
      <c r="H873" t="s">
        <v>1409</v>
      </c>
      <c r="I873" t="s">
        <v>639</v>
      </c>
      <c r="J873" s="21">
        <f>Table1[[#This Row],[interactions]]/Table1[[#This Row],[Attendance]]</f>
        <v>0.4</v>
      </c>
    </row>
    <row r="874" spans="1:10" x14ac:dyDescent="0.2">
      <c r="A874" t="s">
        <v>11</v>
      </c>
      <c r="B874" t="s">
        <v>249</v>
      </c>
      <c r="C874" s="1">
        <v>45261</v>
      </c>
      <c r="D874" t="s">
        <v>217</v>
      </c>
      <c r="E874">
        <v>10</v>
      </c>
      <c r="F874" s="18">
        <v>25</v>
      </c>
      <c r="G874" t="s">
        <v>248</v>
      </c>
      <c r="H874" t="s">
        <v>215</v>
      </c>
      <c r="I874" t="s">
        <v>631</v>
      </c>
      <c r="J874" s="21">
        <f>Table1[[#This Row],[interactions]]/Table1[[#This Row],[Attendance]]</f>
        <v>0.4</v>
      </c>
    </row>
    <row r="875" spans="1:10" x14ac:dyDescent="0.2">
      <c r="A875" t="s">
        <v>11</v>
      </c>
      <c r="B875" t="s">
        <v>912</v>
      </c>
      <c r="C875" s="1">
        <v>45531</v>
      </c>
      <c r="D875" t="s">
        <v>366</v>
      </c>
      <c r="E875">
        <v>12</v>
      </c>
      <c r="F875" s="18">
        <v>30</v>
      </c>
      <c r="H875" t="s">
        <v>612</v>
      </c>
      <c r="I875" t="s">
        <v>858</v>
      </c>
      <c r="J875" s="21">
        <f>Table1[[#This Row],[interactions]]/Table1[[#This Row],[Attendance]]</f>
        <v>0.4</v>
      </c>
    </row>
    <row r="876" spans="1:10" x14ac:dyDescent="0.2">
      <c r="A876" t="s">
        <v>11</v>
      </c>
      <c r="B876" t="s">
        <v>1113</v>
      </c>
      <c r="C876" s="1">
        <v>45454</v>
      </c>
      <c r="D876" t="s">
        <v>217</v>
      </c>
      <c r="E876">
        <v>12</v>
      </c>
      <c r="F876" s="18">
        <v>30</v>
      </c>
      <c r="G876" t="s">
        <v>1112</v>
      </c>
      <c r="H876" t="s">
        <v>608</v>
      </c>
      <c r="J876" s="21">
        <f>Table1[[#This Row],[interactions]]/Table1[[#This Row],[Attendance]]</f>
        <v>0.4</v>
      </c>
    </row>
    <row r="877" spans="1:10" x14ac:dyDescent="0.2">
      <c r="A877" t="s">
        <v>11</v>
      </c>
      <c r="B877" t="s">
        <v>1121</v>
      </c>
      <c r="C877" s="1">
        <v>45454</v>
      </c>
      <c r="D877" t="s">
        <v>217</v>
      </c>
      <c r="E877">
        <v>12</v>
      </c>
      <c r="F877" s="18">
        <v>30</v>
      </c>
      <c r="G877" t="s">
        <v>1120</v>
      </c>
      <c r="H877" t="s">
        <v>612</v>
      </c>
      <c r="J877" s="21">
        <f>Table1[[#This Row],[interactions]]/Table1[[#This Row],[Attendance]]</f>
        <v>0.4</v>
      </c>
    </row>
    <row r="878" spans="1:10" x14ac:dyDescent="0.2">
      <c r="A878" t="s">
        <v>11</v>
      </c>
      <c r="B878" t="s">
        <v>1024</v>
      </c>
      <c r="C878" s="1">
        <v>45491</v>
      </c>
      <c r="D878" t="s">
        <v>217</v>
      </c>
      <c r="E878">
        <v>20</v>
      </c>
      <c r="F878" s="18">
        <v>50</v>
      </c>
      <c r="G878" t="s">
        <v>1023</v>
      </c>
      <c r="H878" t="s">
        <v>797</v>
      </c>
      <c r="I878" t="s">
        <v>779</v>
      </c>
      <c r="J878" s="21">
        <f>Table1[[#This Row],[interactions]]/Table1[[#This Row],[Attendance]]</f>
        <v>0.4</v>
      </c>
    </row>
    <row r="879" spans="1:10" x14ac:dyDescent="0.2">
      <c r="A879" t="s">
        <v>11</v>
      </c>
      <c r="B879" t="s">
        <v>555</v>
      </c>
      <c r="C879" s="1">
        <v>44960</v>
      </c>
      <c r="D879" t="s">
        <v>217</v>
      </c>
      <c r="E879">
        <v>20</v>
      </c>
      <c r="F879" s="18">
        <v>50</v>
      </c>
      <c r="G879" t="s">
        <v>554</v>
      </c>
      <c r="H879" t="s">
        <v>553</v>
      </c>
      <c r="I879" t="s">
        <v>631</v>
      </c>
      <c r="J879" s="21">
        <f>Table1[[#This Row],[interactions]]/Table1[[#This Row],[Attendance]]</f>
        <v>0.4</v>
      </c>
    </row>
    <row r="880" spans="1:10" x14ac:dyDescent="0.2">
      <c r="A880" t="s">
        <v>11</v>
      </c>
      <c r="B880" t="s">
        <v>47</v>
      </c>
      <c r="C880" s="1">
        <v>44936</v>
      </c>
      <c r="D880" t="s">
        <v>366</v>
      </c>
      <c r="E880">
        <v>20</v>
      </c>
      <c r="F880" s="18">
        <v>50</v>
      </c>
      <c r="G880" t="s">
        <v>575</v>
      </c>
      <c r="H880" t="s">
        <v>22</v>
      </c>
      <c r="I880" t="s">
        <v>631</v>
      </c>
      <c r="J880" s="21">
        <f>Table1[[#This Row],[interactions]]/Table1[[#This Row],[Attendance]]</f>
        <v>0.4</v>
      </c>
    </row>
    <row r="881" spans="1:10" x14ac:dyDescent="0.2">
      <c r="A881" t="s">
        <v>11</v>
      </c>
      <c r="B881" t="s">
        <v>77</v>
      </c>
      <c r="C881" s="1">
        <v>44909</v>
      </c>
      <c r="D881" t="s">
        <v>48</v>
      </c>
      <c r="E881">
        <v>20</v>
      </c>
      <c r="F881" s="18">
        <v>50</v>
      </c>
      <c r="G881" t="s">
        <v>9</v>
      </c>
      <c r="H881" t="s">
        <v>22</v>
      </c>
      <c r="I881" t="s">
        <v>631</v>
      </c>
      <c r="J881" s="21">
        <f>Table1[[#This Row],[interactions]]/Table1[[#This Row],[Attendance]]</f>
        <v>0.4</v>
      </c>
    </row>
    <row r="882" spans="1:10" x14ac:dyDescent="0.2">
      <c r="A882" t="s">
        <v>11</v>
      </c>
      <c r="B882" t="s">
        <v>946</v>
      </c>
      <c r="C882" s="1">
        <v>45519</v>
      </c>
      <c r="D882" t="s">
        <v>94</v>
      </c>
      <c r="E882">
        <v>400</v>
      </c>
      <c r="F882" s="18">
        <v>1000</v>
      </c>
      <c r="G882" t="s">
        <v>945</v>
      </c>
      <c r="H882" t="s">
        <v>944</v>
      </c>
      <c r="I882" t="s">
        <v>648</v>
      </c>
      <c r="J882" s="21">
        <f>Table1[[#This Row],[interactions]]/Table1[[#This Row],[Attendance]]</f>
        <v>0.4</v>
      </c>
    </row>
    <row r="883" spans="1:10" x14ac:dyDescent="0.2">
      <c r="A883" t="s">
        <v>11</v>
      </c>
      <c r="B883" t="s">
        <v>104</v>
      </c>
      <c r="C883" s="1">
        <v>44856</v>
      </c>
      <c r="D883" t="s">
        <v>94</v>
      </c>
      <c r="E883">
        <v>400</v>
      </c>
      <c r="F883" s="18">
        <v>1000</v>
      </c>
      <c r="G883" t="s">
        <v>93</v>
      </c>
      <c r="H883" t="s">
        <v>22</v>
      </c>
      <c r="I883" t="s">
        <v>631</v>
      </c>
      <c r="J883" s="21">
        <f>Table1[[#This Row],[interactions]]/Table1[[#This Row],[Attendance]]</f>
        <v>0.4</v>
      </c>
    </row>
    <row r="884" spans="1:10" x14ac:dyDescent="0.2">
      <c r="A884" t="s">
        <v>782</v>
      </c>
      <c r="B884" t="s">
        <v>624</v>
      </c>
      <c r="C884" s="1">
        <v>45545</v>
      </c>
      <c r="D884" t="s">
        <v>366</v>
      </c>
      <c r="E884">
        <v>6</v>
      </c>
      <c r="F884" s="18">
        <v>15</v>
      </c>
      <c r="G884" t="s">
        <v>878</v>
      </c>
      <c r="H884" t="s">
        <v>621</v>
      </c>
      <c r="I884" t="s">
        <v>625</v>
      </c>
      <c r="J884" s="21">
        <f>Table1[[#This Row],[interactions]]/Table1[[#This Row],[Attendance]]</f>
        <v>0.4</v>
      </c>
    </row>
    <row r="885" spans="1:10" x14ac:dyDescent="0.2">
      <c r="A885" t="s">
        <v>782</v>
      </c>
      <c r="B885" t="s">
        <v>732</v>
      </c>
      <c r="C885" s="1">
        <v>45504</v>
      </c>
      <c r="D885" t="s">
        <v>366</v>
      </c>
      <c r="E885">
        <v>8</v>
      </c>
      <c r="F885" s="18">
        <v>20</v>
      </c>
      <c r="G885" t="s">
        <v>990</v>
      </c>
      <c r="H885" t="s">
        <v>621</v>
      </c>
      <c r="I885" t="s">
        <v>733</v>
      </c>
      <c r="J885" s="21">
        <f>Table1[[#This Row],[interactions]]/Table1[[#This Row],[Attendance]]</f>
        <v>0.4</v>
      </c>
    </row>
    <row r="886" spans="1:10" x14ac:dyDescent="0.2">
      <c r="A886" t="s">
        <v>782</v>
      </c>
      <c r="B886" t="s">
        <v>674</v>
      </c>
      <c r="C886" s="1">
        <v>45462</v>
      </c>
      <c r="D886" t="s">
        <v>366</v>
      </c>
      <c r="E886">
        <v>8</v>
      </c>
      <c r="F886" s="18">
        <v>20</v>
      </c>
      <c r="G886" t="s">
        <v>1079</v>
      </c>
      <c r="H886" t="s">
        <v>621</v>
      </c>
      <c r="J886" s="21">
        <f>Table1[[#This Row],[interactions]]/Table1[[#This Row],[Attendance]]</f>
        <v>0.4</v>
      </c>
    </row>
    <row r="887" spans="1:10" x14ac:dyDescent="0.2">
      <c r="A887" t="s">
        <v>782</v>
      </c>
      <c r="B887" t="s">
        <v>1256</v>
      </c>
      <c r="C887" s="1">
        <v>45756</v>
      </c>
      <c r="D887" t="s">
        <v>366</v>
      </c>
      <c r="E887">
        <v>10</v>
      </c>
      <c r="F887" s="18">
        <v>25</v>
      </c>
      <c r="H887">
        <v>150</v>
      </c>
      <c r="I887" t="s">
        <v>625</v>
      </c>
      <c r="J887" s="21">
        <f>Table1[[#This Row],[interactions]]/Table1[[#This Row],[Attendance]]</f>
        <v>0.4</v>
      </c>
    </row>
    <row r="888" spans="1:10" x14ac:dyDescent="0.2">
      <c r="A888" t="s">
        <v>15</v>
      </c>
      <c r="B888" t="s">
        <v>900</v>
      </c>
      <c r="C888" s="1">
        <v>45475</v>
      </c>
      <c r="D888" t="s">
        <v>366</v>
      </c>
      <c r="E888">
        <v>6</v>
      </c>
      <c r="F888" s="18">
        <v>15</v>
      </c>
      <c r="G888" t="s">
        <v>1061</v>
      </c>
      <c r="H888" t="s">
        <v>621</v>
      </c>
      <c r="I888" t="s">
        <v>625</v>
      </c>
      <c r="J888" s="21">
        <f>Table1[[#This Row],[interactions]]/Table1[[#This Row],[Attendance]]</f>
        <v>0.4</v>
      </c>
    </row>
    <row r="889" spans="1:10" x14ac:dyDescent="0.2">
      <c r="A889" t="s">
        <v>15</v>
      </c>
      <c r="B889" t="s">
        <v>83</v>
      </c>
      <c r="C889" s="1">
        <v>44541</v>
      </c>
      <c r="D889" t="s">
        <v>84</v>
      </c>
      <c r="E889">
        <v>600</v>
      </c>
      <c r="F889" s="18">
        <v>1500</v>
      </c>
      <c r="G889" t="s">
        <v>85</v>
      </c>
      <c r="H889" t="s">
        <v>86</v>
      </c>
      <c r="I889" t="s">
        <v>631</v>
      </c>
      <c r="J889" s="21">
        <f>Table1[[#This Row],[interactions]]/Table1[[#This Row],[Attendance]]</f>
        <v>0.4</v>
      </c>
    </row>
    <row r="890" spans="1:10" x14ac:dyDescent="0.2">
      <c r="A890" t="s">
        <v>1381</v>
      </c>
      <c r="B890" t="s">
        <v>938</v>
      </c>
      <c r="C890" s="1">
        <v>45520</v>
      </c>
      <c r="D890" t="s">
        <v>94</v>
      </c>
      <c r="E890">
        <v>80</v>
      </c>
      <c r="F890" s="18">
        <v>200</v>
      </c>
      <c r="G890" t="s">
        <v>937</v>
      </c>
      <c r="H890" t="s">
        <v>936</v>
      </c>
      <c r="I890" t="s">
        <v>679</v>
      </c>
      <c r="J890" s="21">
        <f>Table1[[#This Row],[interactions]]/Table1[[#This Row],[Attendance]]</f>
        <v>0.4</v>
      </c>
    </row>
    <row r="891" spans="1:10" x14ac:dyDescent="0.2">
      <c r="A891" t="s">
        <v>15</v>
      </c>
      <c r="B891" t="s">
        <v>1373</v>
      </c>
      <c r="C891" s="1">
        <v>45204</v>
      </c>
      <c r="D891" t="s">
        <v>94</v>
      </c>
      <c r="E891">
        <v>774</v>
      </c>
      <c r="F891" s="18">
        <v>2000</v>
      </c>
      <c r="G891" t="s">
        <v>1372</v>
      </c>
      <c r="H891" t="s">
        <v>834</v>
      </c>
      <c r="I891" t="s">
        <v>631</v>
      </c>
      <c r="J891" s="21">
        <f>Table1[[#This Row],[interactions]]/Table1[[#This Row],[Attendance]]</f>
        <v>0.38700000000000001</v>
      </c>
    </row>
    <row r="892" spans="1:10" x14ac:dyDescent="0.2">
      <c r="A892" t="s">
        <v>94</v>
      </c>
      <c r="B892" t="s">
        <v>271</v>
      </c>
      <c r="C892" s="1">
        <v>45237</v>
      </c>
      <c r="D892" t="s">
        <v>115</v>
      </c>
      <c r="E892">
        <v>75</v>
      </c>
      <c r="F892" s="18">
        <v>200</v>
      </c>
      <c r="G892" t="s">
        <v>270</v>
      </c>
      <c r="H892" t="s">
        <v>219</v>
      </c>
      <c r="I892" t="s">
        <v>631</v>
      </c>
      <c r="J892" s="21">
        <f>Table1[[#This Row],[interactions]]/Table1[[#This Row],[Attendance]]</f>
        <v>0.375</v>
      </c>
    </row>
    <row r="893" spans="1:10" x14ac:dyDescent="0.2">
      <c r="A893" t="s">
        <v>94</v>
      </c>
      <c r="B893" t="s">
        <v>454</v>
      </c>
      <c r="C893" s="1">
        <v>45084</v>
      </c>
      <c r="D893" t="s">
        <v>94</v>
      </c>
      <c r="E893">
        <v>75</v>
      </c>
      <c r="F893" s="18">
        <v>200</v>
      </c>
      <c r="G893" t="s">
        <v>453</v>
      </c>
      <c r="H893" t="s">
        <v>452</v>
      </c>
      <c r="I893" t="s">
        <v>631</v>
      </c>
      <c r="J893" s="21">
        <f>Table1[[#This Row],[interactions]]/Table1[[#This Row],[Attendance]]</f>
        <v>0.375</v>
      </c>
    </row>
    <row r="894" spans="1:10" x14ac:dyDescent="0.2">
      <c r="A894" t="s">
        <v>11</v>
      </c>
      <c r="B894" t="s">
        <v>296</v>
      </c>
      <c r="C894" s="1">
        <v>45678</v>
      </c>
      <c r="D894" t="s">
        <v>217</v>
      </c>
      <c r="E894">
        <v>15</v>
      </c>
      <c r="F894" s="18">
        <v>40</v>
      </c>
      <c r="G894" t="s">
        <v>1649</v>
      </c>
      <c r="H894" t="s">
        <v>608</v>
      </c>
      <c r="I894" t="s">
        <v>627</v>
      </c>
      <c r="J894" s="21">
        <f>Table1[[#This Row],[interactions]]/Table1[[#This Row],[Attendance]]</f>
        <v>0.375</v>
      </c>
    </row>
    <row r="895" spans="1:10" x14ac:dyDescent="0.2">
      <c r="A895" t="s">
        <v>11</v>
      </c>
      <c r="B895" t="s">
        <v>1307</v>
      </c>
      <c r="C895" s="1">
        <v>45364</v>
      </c>
      <c r="D895" t="s">
        <v>217</v>
      </c>
      <c r="E895">
        <v>15</v>
      </c>
      <c r="F895" s="18">
        <v>40</v>
      </c>
      <c r="G895" t="s">
        <v>1306</v>
      </c>
      <c r="H895" t="s">
        <v>1305</v>
      </c>
      <c r="J895" s="21">
        <f>Table1[[#This Row],[interactions]]/Table1[[#This Row],[Attendance]]</f>
        <v>0.375</v>
      </c>
    </row>
    <row r="896" spans="1:10" x14ac:dyDescent="0.2">
      <c r="A896" t="s">
        <v>11</v>
      </c>
      <c r="B896" t="s">
        <v>293</v>
      </c>
      <c r="C896" s="1">
        <v>45217</v>
      </c>
      <c r="D896" t="s">
        <v>217</v>
      </c>
      <c r="E896">
        <v>15</v>
      </c>
      <c r="F896" s="18">
        <v>40</v>
      </c>
      <c r="G896" t="s">
        <v>292</v>
      </c>
      <c r="H896" t="s">
        <v>229</v>
      </c>
      <c r="I896" t="s">
        <v>631</v>
      </c>
      <c r="J896" s="21">
        <f>Table1[[#This Row],[interactions]]/Table1[[#This Row],[Attendance]]</f>
        <v>0.375</v>
      </c>
    </row>
    <row r="897" spans="1:10" x14ac:dyDescent="0.2">
      <c r="A897" t="s">
        <v>11</v>
      </c>
      <c r="B897" t="s">
        <v>207</v>
      </c>
      <c r="C897" s="1">
        <v>44600</v>
      </c>
      <c r="D897" t="s">
        <v>48</v>
      </c>
      <c r="E897">
        <v>15</v>
      </c>
      <c r="F897" s="18">
        <v>40</v>
      </c>
      <c r="G897" t="s">
        <v>206</v>
      </c>
      <c r="H897" t="s">
        <v>86</v>
      </c>
      <c r="I897" t="s">
        <v>631</v>
      </c>
      <c r="J897" s="21">
        <f>Table1[[#This Row],[interactions]]/Table1[[#This Row],[Attendance]]</f>
        <v>0.375</v>
      </c>
    </row>
    <row r="898" spans="1:10" x14ac:dyDescent="0.2">
      <c r="A898" t="s">
        <v>11</v>
      </c>
      <c r="B898" t="s">
        <v>767</v>
      </c>
      <c r="C898" s="1">
        <v>45573</v>
      </c>
      <c r="D898" t="s">
        <v>366</v>
      </c>
      <c r="E898">
        <v>18</v>
      </c>
      <c r="F898" s="18">
        <v>48</v>
      </c>
      <c r="G898" t="s">
        <v>701</v>
      </c>
      <c r="H898" t="s">
        <v>612</v>
      </c>
      <c r="I898" t="s">
        <v>636</v>
      </c>
      <c r="J898" s="21">
        <f>Table1[[#This Row],[interactions]]/Table1[[#This Row],[Attendance]]</f>
        <v>0.375</v>
      </c>
    </row>
    <row r="899" spans="1:10" x14ac:dyDescent="0.2">
      <c r="A899" t="s">
        <v>23</v>
      </c>
      <c r="B899" t="s">
        <v>1725</v>
      </c>
      <c r="C899" s="1">
        <v>45041</v>
      </c>
      <c r="D899" t="s">
        <v>1730</v>
      </c>
      <c r="E899">
        <v>30</v>
      </c>
      <c r="F899" s="18">
        <v>80</v>
      </c>
      <c r="G899" t="s">
        <v>1729</v>
      </c>
      <c r="H899" t="s">
        <v>22</v>
      </c>
      <c r="I899" t="s">
        <v>631</v>
      </c>
      <c r="J899" s="21">
        <f>Table1[[#This Row],[interactions]]/Table1[[#This Row],[Attendance]]</f>
        <v>0.375</v>
      </c>
    </row>
    <row r="900" spans="1:10" x14ac:dyDescent="0.2">
      <c r="A900" s="17" t="s">
        <v>366</v>
      </c>
      <c r="B900" t="s">
        <v>1601</v>
      </c>
      <c r="C900" s="1">
        <v>45736</v>
      </c>
      <c r="D900" t="s">
        <v>217</v>
      </c>
      <c r="E900">
        <v>30</v>
      </c>
      <c r="F900" s="18">
        <v>80</v>
      </c>
      <c r="H900" t="s">
        <v>608</v>
      </c>
      <c r="I900" t="s">
        <v>610</v>
      </c>
      <c r="J900" s="21">
        <f>Table1[[#This Row],[interactions]]/Table1[[#This Row],[Attendance]]</f>
        <v>0.375</v>
      </c>
    </row>
    <row r="901" spans="1:10" x14ac:dyDescent="0.2">
      <c r="A901" t="s">
        <v>11</v>
      </c>
      <c r="B901" t="s">
        <v>1171</v>
      </c>
      <c r="C901" s="1">
        <v>45422</v>
      </c>
      <c r="D901" t="s">
        <v>366</v>
      </c>
      <c r="E901">
        <v>8</v>
      </c>
      <c r="F901" s="18">
        <v>22</v>
      </c>
      <c r="G901" t="s">
        <v>1170</v>
      </c>
      <c r="H901" t="s">
        <v>621</v>
      </c>
      <c r="J901" s="21">
        <f>Table1[[#This Row],[interactions]]/Table1[[#This Row],[Attendance]]</f>
        <v>0.36363636363636365</v>
      </c>
    </row>
    <row r="902" spans="1:10" x14ac:dyDescent="0.2">
      <c r="A902" t="s">
        <v>11</v>
      </c>
      <c r="B902" t="s">
        <v>1109</v>
      </c>
      <c r="C902" s="1">
        <v>45455</v>
      </c>
      <c r="D902" t="s">
        <v>217</v>
      </c>
      <c r="E902">
        <v>10</v>
      </c>
      <c r="F902" s="18">
        <v>28</v>
      </c>
      <c r="H902" t="s">
        <v>612</v>
      </c>
      <c r="J902" s="21">
        <f>Table1[[#This Row],[interactions]]/Table1[[#This Row],[Attendance]]</f>
        <v>0.35714285714285715</v>
      </c>
    </row>
    <row r="903" spans="1:10" x14ac:dyDescent="0.2">
      <c r="A903" t="s">
        <v>640</v>
      </c>
      <c r="B903" t="s">
        <v>1422</v>
      </c>
      <c r="C903" s="1">
        <v>45941</v>
      </c>
      <c r="D903" t="s">
        <v>115</v>
      </c>
      <c r="E903" s="2">
        <v>1066</v>
      </c>
      <c r="F903" s="18">
        <v>3000</v>
      </c>
      <c r="H903" t="s">
        <v>1421</v>
      </c>
      <c r="I903" t="s">
        <v>1423</v>
      </c>
      <c r="J903" s="21">
        <f>Table1[[#This Row],[interactions]]/Table1[[#This Row],[Attendance]]</f>
        <v>0.35533333333333333</v>
      </c>
    </row>
    <row r="904" spans="1:10" x14ac:dyDescent="0.2">
      <c r="A904" t="s">
        <v>11</v>
      </c>
      <c r="B904" t="s">
        <v>484</v>
      </c>
      <c r="C904" s="1">
        <v>45036</v>
      </c>
      <c r="D904" t="s">
        <v>366</v>
      </c>
      <c r="E904">
        <v>35</v>
      </c>
      <c r="F904" s="18">
        <v>100</v>
      </c>
      <c r="G904" t="s">
        <v>483</v>
      </c>
      <c r="H904" t="s">
        <v>22</v>
      </c>
      <c r="I904" t="s">
        <v>631</v>
      </c>
      <c r="J904" s="21">
        <f>Table1[[#This Row],[interactions]]/Table1[[#This Row],[Attendance]]</f>
        <v>0.35</v>
      </c>
    </row>
    <row r="905" spans="1:10" x14ac:dyDescent="0.2">
      <c r="A905" t="s">
        <v>11</v>
      </c>
      <c r="B905" t="s">
        <v>760</v>
      </c>
      <c r="C905" s="1">
        <v>45574</v>
      </c>
      <c r="D905" t="s">
        <v>366</v>
      </c>
      <c r="E905">
        <v>12</v>
      </c>
      <c r="F905" s="18">
        <v>35</v>
      </c>
      <c r="H905" t="s">
        <v>612</v>
      </c>
      <c r="I905" t="s">
        <v>704</v>
      </c>
      <c r="J905" s="21">
        <f>Table1[[#This Row],[interactions]]/Table1[[#This Row],[Attendance]]</f>
        <v>0.34285714285714286</v>
      </c>
    </row>
    <row r="906" spans="1:10" x14ac:dyDescent="0.2">
      <c r="A906" t="s">
        <v>15</v>
      </c>
      <c r="B906" t="s">
        <v>80</v>
      </c>
      <c r="C906" s="1">
        <v>44538</v>
      </c>
      <c r="D906" t="s">
        <v>81</v>
      </c>
      <c r="E906">
        <v>68</v>
      </c>
      <c r="F906" s="18">
        <v>200</v>
      </c>
      <c r="G906" t="s">
        <v>82</v>
      </c>
      <c r="H906" t="s">
        <v>10</v>
      </c>
      <c r="I906" t="s">
        <v>631</v>
      </c>
      <c r="J906" s="21">
        <f>Table1[[#This Row],[interactions]]/Table1[[#This Row],[Attendance]]</f>
        <v>0.34</v>
      </c>
    </row>
    <row r="907" spans="1:10" x14ac:dyDescent="0.2">
      <c r="A907" t="s">
        <v>11</v>
      </c>
      <c r="B907" t="s">
        <v>622</v>
      </c>
      <c r="C907" s="1">
        <v>45482</v>
      </c>
      <c r="D907" t="s">
        <v>366</v>
      </c>
      <c r="E907">
        <v>5</v>
      </c>
      <c r="F907" s="18">
        <v>15</v>
      </c>
      <c r="G907" t="s">
        <v>1057</v>
      </c>
      <c r="H907" t="s">
        <v>621</v>
      </c>
      <c r="I907" t="s">
        <v>623</v>
      </c>
      <c r="J907" s="21">
        <f>Table1[[#This Row],[interactions]]/Table1[[#This Row],[Attendance]]</f>
        <v>0.33333333333333331</v>
      </c>
    </row>
    <row r="908" spans="1:10" x14ac:dyDescent="0.2">
      <c r="A908" t="s">
        <v>11</v>
      </c>
      <c r="B908" t="s">
        <v>396</v>
      </c>
      <c r="C908" s="1">
        <v>45153</v>
      </c>
      <c r="D908" t="s">
        <v>366</v>
      </c>
      <c r="E908">
        <v>5</v>
      </c>
      <c r="F908" s="18">
        <v>15</v>
      </c>
      <c r="G908" t="s">
        <v>395</v>
      </c>
      <c r="H908" t="s">
        <v>215</v>
      </c>
      <c r="I908" t="s">
        <v>631</v>
      </c>
      <c r="J908" s="21">
        <f>Table1[[#This Row],[interactions]]/Table1[[#This Row],[Attendance]]</f>
        <v>0.33333333333333331</v>
      </c>
    </row>
    <row r="909" spans="1:10" x14ac:dyDescent="0.2">
      <c r="A909" t="s">
        <v>11</v>
      </c>
      <c r="B909" t="s">
        <v>1441</v>
      </c>
      <c r="C909" s="1">
        <v>45926</v>
      </c>
      <c r="D909" t="s">
        <v>366</v>
      </c>
      <c r="E909">
        <v>10</v>
      </c>
      <c r="F909" s="18">
        <v>30</v>
      </c>
      <c r="H909" t="s">
        <v>608</v>
      </c>
      <c r="I909" t="s">
        <v>679</v>
      </c>
      <c r="J909" s="21">
        <f>Table1[[#This Row],[interactions]]/Table1[[#This Row],[Attendance]]</f>
        <v>0.33333333333333331</v>
      </c>
    </row>
    <row r="910" spans="1:10" x14ac:dyDescent="0.2">
      <c r="A910" t="s">
        <v>11</v>
      </c>
      <c r="B910" t="s">
        <v>1457</v>
      </c>
      <c r="C910" s="1">
        <v>45919</v>
      </c>
      <c r="D910" t="s">
        <v>217</v>
      </c>
      <c r="E910">
        <v>10</v>
      </c>
      <c r="F910" s="18">
        <v>30</v>
      </c>
      <c r="H910" t="s">
        <v>649</v>
      </c>
      <c r="I910" t="s">
        <v>735</v>
      </c>
      <c r="J910" s="21">
        <f>Table1[[#This Row],[interactions]]/Table1[[#This Row],[Attendance]]</f>
        <v>0.33333333333333331</v>
      </c>
    </row>
    <row r="911" spans="1:10" x14ac:dyDescent="0.2">
      <c r="A911" t="s">
        <v>11</v>
      </c>
      <c r="B911" t="s">
        <v>1487</v>
      </c>
      <c r="C911" s="1">
        <v>45812</v>
      </c>
      <c r="D911" t="s">
        <v>217</v>
      </c>
      <c r="E911">
        <v>10</v>
      </c>
      <c r="F911" s="18">
        <v>30</v>
      </c>
      <c r="H911" t="s">
        <v>621</v>
      </c>
      <c r="I911" t="s">
        <v>625</v>
      </c>
      <c r="J911" s="21">
        <f>Table1[[#This Row],[interactions]]/Table1[[#This Row],[Attendance]]</f>
        <v>0.33333333333333331</v>
      </c>
    </row>
    <row r="912" spans="1:10" x14ac:dyDescent="0.2">
      <c r="A912" t="s">
        <v>11</v>
      </c>
      <c r="B912" t="s">
        <v>788</v>
      </c>
      <c r="C912" s="1">
        <v>45568</v>
      </c>
      <c r="D912" t="s">
        <v>366</v>
      </c>
      <c r="E912">
        <v>10</v>
      </c>
      <c r="F912" s="18">
        <v>30</v>
      </c>
      <c r="H912" t="s">
        <v>612</v>
      </c>
      <c r="I912" t="s">
        <v>639</v>
      </c>
      <c r="J912" s="21">
        <f>Table1[[#This Row],[interactions]]/Table1[[#This Row],[Attendance]]</f>
        <v>0.33333333333333331</v>
      </c>
    </row>
    <row r="913" spans="1:10" x14ac:dyDescent="0.2">
      <c r="A913" t="s">
        <v>11</v>
      </c>
      <c r="B913" t="s">
        <v>1200</v>
      </c>
      <c r="C913" s="1">
        <v>45413</v>
      </c>
      <c r="D913" t="s">
        <v>217</v>
      </c>
      <c r="E913">
        <v>10</v>
      </c>
      <c r="F913" s="18">
        <v>30</v>
      </c>
      <c r="G913" t="s">
        <v>1199</v>
      </c>
      <c r="H913" t="s">
        <v>608</v>
      </c>
      <c r="J913" s="21">
        <f>Table1[[#This Row],[interactions]]/Table1[[#This Row],[Attendance]]</f>
        <v>0.33333333333333331</v>
      </c>
    </row>
    <row r="914" spans="1:10" x14ac:dyDescent="0.2">
      <c r="A914" t="s">
        <v>11</v>
      </c>
      <c r="B914" t="s">
        <v>141</v>
      </c>
      <c r="C914" s="1">
        <v>44734</v>
      </c>
      <c r="D914" t="s">
        <v>48</v>
      </c>
      <c r="E914">
        <v>10</v>
      </c>
      <c r="F914" s="18">
        <v>30</v>
      </c>
      <c r="G914" t="s">
        <v>140</v>
      </c>
      <c r="H914" t="s">
        <v>22</v>
      </c>
      <c r="I914" t="s">
        <v>631</v>
      </c>
      <c r="J914" s="21">
        <f>Table1[[#This Row],[interactions]]/Table1[[#This Row],[Attendance]]</f>
        <v>0.33333333333333331</v>
      </c>
    </row>
    <row r="915" spans="1:10" x14ac:dyDescent="0.2">
      <c r="A915" t="s">
        <v>11</v>
      </c>
      <c r="B915" t="s">
        <v>1543</v>
      </c>
      <c r="C915" s="1">
        <v>45834</v>
      </c>
      <c r="D915" t="s">
        <v>217</v>
      </c>
      <c r="E915">
        <v>15</v>
      </c>
      <c r="F915" s="18">
        <v>45</v>
      </c>
      <c r="I915" t="s">
        <v>927</v>
      </c>
      <c r="J915" s="21">
        <f>Table1[[#This Row],[interactions]]/Table1[[#This Row],[Attendance]]</f>
        <v>0.33333333333333331</v>
      </c>
    </row>
    <row r="916" spans="1:10" x14ac:dyDescent="0.2">
      <c r="A916" t="s">
        <v>11</v>
      </c>
      <c r="B916" t="s">
        <v>296</v>
      </c>
      <c r="C916" s="1">
        <v>45461</v>
      </c>
      <c r="D916" t="s">
        <v>217</v>
      </c>
      <c r="E916">
        <v>15</v>
      </c>
      <c r="F916" s="18">
        <v>45</v>
      </c>
      <c r="G916" t="s">
        <v>1089</v>
      </c>
      <c r="H916" t="s">
        <v>608</v>
      </c>
      <c r="J916" s="21">
        <f>Table1[[#This Row],[interactions]]/Table1[[#This Row],[Attendance]]</f>
        <v>0.33333333333333331</v>
      </c>
    </row>
    <row r="917" spans="1:10" x14ac:dyDescent="0.2">
      <c r="A917" t="s">
        <v>11</v>
      </c>
      <c r="B917" t="s">
        <v>1223</v>
      </c>
      <c r="C917" s="1">
        <v>45400</v>
      </c>
      <c r="D917" t="s">
        <v>217</v>
      </c>
      <c r="E917">
        <v>15</v>
      </c>
      <c r="F917" s="18">
        <v>45</v>
      </c>
      <c r="G917" t="s">
        <v>1222</v>
      </c>
      <c r="H917" t="s">
        <v>608</v>
      </c>
      <c r="J917" s="21">
        <f>Table1[[#This Row],[interactions]]/Table1[[#This Row],[Attendance]]</f>
        <v>0.33333333333333331</v>
      </c>
    </row>
    <row r="918" spans="1:10" x14ac:dyDescent="0.2">
      <c r="A918" t="s">
        <v>11</v>
      </c>
      <c r="B918" t="s">
        <v>545</v>
      </c>
      <c r="C918" s="1">
        <v>44972</v>
      </c>
      <c r="D918" t="s">
        <v>217</v>
      </c>
      <c r="E918">
        <v>15</v>
      </c>
      <c r="F918" s="18">
        <v>45</v>
      </c>
      <c r="G918" t="s">
        <v>544</v>
      </c>
      <c r="H918" t="s">
        <v>525</v>
      </c>
      <c r="I918" t="s">
        <v>631</v>
      </c>
      <c r="J918" s="21">
        <f>Table1[[#This Row],[interactions]]/Table1[[#This Row],[Attendance]]</f>
        <v>0.33333333333333331</v>
      </c>
    </row>
    <row r="919" spans="1:10" x14ac:dyDescent="0.2">
      <c r="A919" t="s">
        <v>11</v>
      </c>
      <c r="B919" t="s">
        <v>117</v>
      </c>
      <c r="C919" s="1">
        <v>44832</v>
      </c>
      <c r="D919" t="s">
        <v>48</v>
      </c>
      <c r="E919">
        <v>20</v>
      </c>
      <c r="F919" s="18">
        <v>60</v>
      </c>
      <c r="G919" t="s">
        <v>103</v>
      </c>
      <c r="H919" t="s">
        <v>22</v>
      </c>
      <c r="I919" t="s">
        <v>631</v>
      </c>
      <c r="J919" s="21">
        <f>Table1[[#This Row],[interactions]]/Table1[[#This Row],[Attendance]]</f>
        <v>0.33333333333333331</v>
      </c>
    </row>
    <row r="920" spans="1:10" x14ac:dyDescent="0.2">
      <c r="A920" t="s">
        <v>11</v>
      </c>
      <c r="B920" t="s">
        <v>611</v>
      </c>
      <c r="C920" s="1">
        <v>45400</v>
      </c>
      <c r="D920" t="s">
        <v>217</v>
      </c>
      <c r="E920">
        <v>25</v>
      </c>
      <c r="F920" s="18">
        <v>75</v>
      </c>
      <c r="G920" t="s">
        <v>1224</v>
      </c>
      <c r="H920" t="s">
        <v>1139</v>
      </c>
      <c r="J920" s="21">
        <f>Table1[[#This Row],[interactions]]/Table1[[#This Row],[Attendance]]</f>
        <v>0.33333333333333331</v>
      </c>
    </row>
    <row r="921" spans="1:10" x14ac:dyDescent="0.2">
      <c r="A921" t="s">
        <v>11</v>
      </c>
      <c r="B921" t="s">
        <v>510</v>
      </c>
      <c r="C921" s="1">
        <v>45001</v>
      </c>
      <c r="D921" t="s">
        <v>366</v>
      </c>
      <c r="E921">
        <v>50</v>
      </c>
      <c r="F921" s="18">
        <v>150</v>
      </c>
      <c r="G921" t="s">
        <v>509</v>
      </c>
      <c r="H921" t="s">
        <v>215</v>
      </c>
      <c r="I921" t="s">
        <v>631</v>
      </c>
      <c r="J921" s="21">
        <f>Table1[[#This Row],[interactions]]/Table1[[#This Row],[Attendance]]</f>
        <v>0.33333333333333331</v>
      </c>
    </row>
    <row r="922" spans="1:10" x14ac:dyDescent="0.2">
      <c r="A922" t="s">
        <v>11</v>
      </c>
      <c r="B922" t="s">
        <v>129</v>
      </c>
      <c r="C922" s="1">
        <v>44993</v>
      </c>
      <c r="D922" t="s">
        <v>366</v>
      </c>
      <c r="E922">
        <v>50</v>
      </c>
      <c r="F922" s="18">
        <v>150</v>
      </c>
      <c r="G922" t="s">
        <v>515</v>
      </c>
      <c r="H922" t="s">
        <v>215</v>
      </c>
      <c r="I922" t="s">
        <v>631</v>
      </c>
      <c r="J922" s="21">
        <f>Table1[[#This Row],[interactions]]/Table1[[#This Row],[Attendance]]</f>
        <v>0.33333333333333331</v>
      </c>
    </row>
    <row r="923" spans="1:10" x14ac:dyDescent="0.2">
      <c r="A923" t="s">
        <v>11</v>
      </c>
      <c r="B923" t="s">
        <v>183</v>
      </c>
      <c r="C923" s="1">
        <v>44651</v>
      </c>
      <c r="D923" t="s">
        <v>28</v>
      </c>
      <c r="E923">
        <v>100</v>
      </c>
      <c r="F923" s="18">
        <v>300</v>
      </c>
      <c r="G923" t="s">
        <v>9</v>
      </c>
      <c r="H923" t="s">
        <v>10</v>
      </c>
      <c r="I923" t="s">
        <v>631</v>
      </c>
      <c r="J923" s="21">
        <f>Table1[[#This Row],[interactions]]/Table1[[#This Row],[Attendance]]</f>
        <v>0.33333333333333331</v>
      </c>
    </row>
    <row r="924" spans="1:10" x14ac:dyDescent="0.2">
      <c r="A924" t="s">
        <v>782</v>
      </c>
      <c r="B924" t="s">
        <v>751</v>
      </c>
      <c r="C924" s="1">
        <v>45580</v>
      </c>
      <c r="D924" t="s">
        <v>366</v>
      </c>
      <c r="E924">
        <v>5</v>
      </c>
      <c r="F924" s="18">
        <v>15</v>
      </c>
      <c r="G924" t="s">
        <v>750</v>
      </c>
      <c r="H924" t="s">
        <v>621</v>
      </c>
      <c r="I924" t="s">
        <v>642</v>
      </c>
      <c r="J924" s="21">
        <f>Table1[[#This Row],[interactions]]/Table1[[#This Row],[Attendance]]</f>
        <v>0.33333333333333331</v>
      </c>
    </row>
    <row r="925" spans="1:10" x14ac:dyDescent="0.2">
      <c r="A925" t="s">
        <v>15</v>
      </c>
      <c r="B925" t="s">
        <v>1709</v>
      </c>
      <c r="C925" s="1">
        <v>45036</v>
      </c>
      <c r="D925" t="s">
        <v>1708</v>
      </c>
      <c r="E925">
        <v>10</v>
      </c>
      <c r="F925" s="18">
        <v>30</v>
      </c>
      <c r="H925" t="s">
        <v>452</v>
      </c>
      <c r="I925" t="s">
        <v>631</v>
      </c>
      <c r="J925" s="21">
        <f>Table1[[#This Row],[interactions]]/Table1[[#This Row],[Attendance]]</f>
        <v>0.33333333333333331</v>
      </c>
    </row>
    <row r="926" spans="1:10" x14ac:dyDescent="0.2">
      <c r="A926" t="s">
        <v>15</v>
      </c>
      <c r="B926" t="s">
        <v>1709</v>
      </c>
      <c r="C926" s="1">
        <v>44973</v>
      </c>
      <c r="D926" t="s">
        <v>1708</v>
      </c>
      <c r="E926">
        <v>10</v>
      </c>
      <c r="F926" s="18">
        <v>30</v>
      </c>
      <c r="H926" t="s">
        <v>452</v>
      </c>
      <c r="I926" t="s">
        <v>631</v>
      </c>
      <c r="J926" s="21">
        <f>Table1[[#This Row],[interactions]]/Table1[[#This Row],[Attendance]]</f>
        <v>0.33333333333333331</v>
      </c>
    </row>
    <row r="927" spans="1:10" x14ac:dyDescent="0.2">
      <c r="A927" t="s">
        <v>15</v>
      </c>
      <c r="B927" t="s">
        <v>116</v>
      </c>
      <c r="C927" s="1">
        <v>44833</v>
      </c>
      <c r="D927" t="s">
        <v>115</v>
      </c>
      <c r="E927">
        <v>50</v>
      </c>
      <c r="F927" s="18">
        <v>150</v>
      </c>
      <c r="G927" t="s">
        <v>114</v>
      </c>
      <c r="H927" t="s">
        <v>10</v>
      </c>
      <c r="I927" t="s">
        <v>631</v>
      </c>
      <c r="J927" s="21">
        <f>Table1[[#This Row],[interactions]]/Table1[[#This Row],[Attendance]]</f>
        <v>0.33333333333333331</v>
      </c>
    </row>
    <row r="928" spans="1:10" x14ac:dyDescent="0.2">
      <c r="A928" t="s">
        <v>15</v>
      </c>
      <c r="B928" t="s">
        <v>195</v>
      </c>
      <c r="C928" s="1">
        <v>44636</v>
      </c>
      <c r="D928" t="s">
        <v>48</v>
      </c>
      <c r="E928">
        <v>50</v>
      </c>
      <c r="F928" s="18">
        <v>150</v>
      </c>
      <c r="G928" t="s">
        <v>194</v>
      </c>
      <c r="H928" t="s">
        <v>43</v>
      </c>
      <c r="I928" t="s">
        <v>631</v>
      </c>
      <c r="J928" s="21">
        <f>Table1[[#This Row],[interactions]]/Table1[[#This Row],[Attendance]]</f>
        <v>0.33333333333333331</v>
      </c>
    </row>
    <row r="929" spans="1:10" x14ac:dyDescent="0.2">
      <c r="A929" t="s">
        <v>15</v>
      </c>
      <c r="B929" t="s">
        <v>162</v>
      </c>
      <c r="C929" s="1">
        <v>44687</v>
      </c>
      <c r="D929" t="s">
        <v>28</v>
      </c>
      <c r="E929">
        <v>100</v>
      </c>
      <c r="F929" s="18">
        <v>300</v>
      </c>
      <c r="G929" t="s">
        <v>161</v>
      </c>
      <c r="H929" t="s">
        <v>10</v>
      </c>
      <c r="I929" t="s">
        <v>631</v>
      </c>
      <c r="J929" s="21">
        <f>Table1[[#This Row],[interactions]]/Table1[[#This Row],[Attendance]]</f>
        <v>0.33333333333333331</v>
      </c>
    </row>
    <row r="930" spans="1:10" x14ac:dyDescent="0.2">
      <c r="A930" t="s">
        <v>15</v>
      </c>
      <c r="B930" t="s">
        <v>849</v>
      </c>
      <c r="C930" s="1">
        <v>45549</v>
      </c>
      <c r="D930" t="s">
        <v>94</v>
      </c>
      <c r="E930">
        <v>1000</v>
      </c>
      <c r="F930" s="18">
        <v>3000</v>
      </c>
      <c r="G930" t="s">
        <v>848</v>
      </c>
      <c r="H930" t="s">
        <v>834</v>
      </c>
      <c r="I930" t="s">
        <v>610</v>
      </c>
      <c r="J930" s="21">
        <f>Table1[[#This Row],[interactions]]/Table1[[#This Row],[Attendance]]</f>
        <v>0.33333333333333331</v>
      </c>
    </row>
    <row r="931" spans="1:10" x14ac:dyDescent="0.2">
      <c r="A931" t="s">
        <v>23</v>
      </c>
      <c r="B931" t="s">
        <v>326</v>
      </c>
      <c r="C931" s="1">
        <v>45198</v>
      </c>
      <c r="D931" t="s">
        <v>217</v>
      </c>
      <c r="E931">
        <v>100</v>
      </c>
      <c r="F931" s="18">
        <v>300</v>
      </c>
      <c r="G931" t="s">
        <v>325</v>
      </c>
      <c r="H931" t="s">
        <v>215</v>
      </c>
      <c r="I931" t="s">
        <v>631</v>
      </c>
      <c r="J931" s="21">
        <f>Table1[[#This Row],[interactions]]/Table1[[#This Row],[Attendance]]</f>
        <v>0.33333333333333331</v>
      </c>
    </row>
    <row r="932" spans="1:10" x14ac:dyDescent="0.2">
      <c r="A932" s="17" t="s">
        <v>366</v>
      </c>
      <c r="B932" t="s">
        <v>508</v>
      </c>
      <c r="C932" s="1">
        <v>45464</v>
      </c>
      <c r="D932" t="s">
        <v>217</v>
      </c>
      <c r="E932">
        <v>10</v>
      </c>
      <c r="F932" s="18">
        <v>30</v>
      </c>
      <c r="G932" t="s">
        <v>1066</v>
      </c>
      <c r="J932" s="21">
        <f>Table1[[#This Row],[interactions]]/Table1[[#This Row],[Attendance]]</f>
        <v>0.33333333333333331</v>
      </c>
    </row>
    <row r="933" spans="1:10" x14ac:dyDescent="0.2">
      <c r="A933" s="17" t="s">
        <v>366</v>
      </c>
      <c r="B933" t="s">
        <v>692</v>
      </c>
      <c r="C933" s="1">
        <v>45442</v>
      </c>
      <c r="D933" t="s">
        <v>217</v>
      </c>
      <c r="E933">
        <v>15</v>
      </c>
      <c r="F933" s="18">
        <v>45</v>
      </c>
      <c r="G933" t="s">
        <v>1140</v>
      </c>
      <c r="H933" t="s">
        <v>1139</v>
      </c>
      <c r="J933" s="21">
        <f>Table1[[#This Row],[interactions]]/Table1[[#This Row],[Attendance]]</f>
        <v>0.33333333333333331</v>
      </c>
    </row>
    <row r="934" spans="1:10" x14ac:dyDescent="0.2">
      <c r="A934" t="s">
        <v>11</v>
      </c>
      <c r="B934" t="s">
        <v>1487</v>
      </c>
      <c r="C934" s="1">
        <v>45727</v>
      </c>
      <c r="D934" t="s">
        <v>366</v>
      </c>
      <c r="E934">
        <v>8</v>
      </c>
      <c r="F934" s="18">
        <v>25</v>
      </c>
      <c r="H934" t="s">
        <v>621</v>
      </c>
      <c r="I934" t="s">
        <v>625</v>
      </c>
      <c r="J934" s="21">
        <f>Table1[[#This Row],[interactions]]/Table1[[#This Row],[Attendance]]</f>
        <v>0.32</v>
      </c>
    </row>
    <row r="935" spans="1:10" x14ac:dyDescent="0.2">
      <c r="A935" t="s">
        <v>11</v>
      </c>
      <c r="B935" t="s">
        <v>296</v>
      </c>
      <c r="C935" s="1">
        <v>45433</v>
      </c>
      <c r="D935" t="s">
        <v>217</v>
      </c>
      <c r="E935">
        <v>8</v>
      </c>
      <c r="F935" s="18">
        <v>25</v>
      </c>
      <c r="G935" t="s">
        <v>1163</v>
      </c>
      <c r="H935" t="s">
        <v>608</v>
      </c>
      <c r="J935" s="21">
        <f>Table1[[#This Row],[interactions]]/Table1[[#This Row],[Attendance]]</f>
        <v>0.32</v>
      </c>
    </row>
    <row r="936" spans="1:10" x14ac:dyDescent="0.2">
      <c r="A936" s="17" t="s">
        <v>366</v>
      </c>
      <c r="B936" t="s">
        <v>816</v>
      </c>
      <c r="C936" s="1">
        <v>45496</v>
      </c>
      <c r="D936" t="s">
        <v>217</v>
      </c>
      <c r="E936">
        <v>8</v>
      </c>
      <c r="F936" s="18">
        <v>25</v>
      </c>
      <c r="G936" t="s">
        <v>1020</v>
      </c>
      <c r="H936" t="s">
        <v>797</v>
      </c>
      <c r="I936" t="s">
        <v>735</v>
      </c>
      <c r="J936" s="21">
        <f>Table1[[#This Row],[interactions]]/Table1[[#This Row],[Attendance]]</f>
        <v>0.32</v>
      </c>
    </row>
    <row r="937" spans="1:10" x14ac:dyDescent="0.2">
      <c r="A937" t="s">
        <v>11</v>
      </c>
      <c r="B937" t="s">
        <v>730</v>
      </c>
      <c r="C937" s="1">
        <v>45588</v>
      </c>
      <c r="D937" t="s">
        <v>366</v>
      </c>
      <c r="E937">
        <v>6</v>
      </c>
      <c r="F937" s="18">
        <v>20</v>
      </c>
      <c r="I937" t="s">
        <v>590</v>
      </c>
      <c r="J937" s="21">
        <f>Table1[[#This Row],[interactions]]/Table1[[#This Row],[Attendance]]</f>
        <v>0.3</v>
      </c>
    </row>
    <row r="938" spans="1:10" x14ac:dyDescent="0.2">
      <c r="A938" t="s">
        <v>11</v>
      </c>
      <c r="B938" t="s">
        <v>622</v>
      </c>
      <c r="C938" s="1">
        <v>45391</v>
      </c>
      <c r="D938" t="s">
        <v>366</v>
      </c>
      <c r="E938">
        <v>6</v>
      </c>
      <c r="F938" s="18">
        <v>20</v>
      </c>
      <c r="G938" t="s">
        <v>1248</v>
      </c>
      <c r="H938" t="s">
        <v>621</v>
      </c>
      <c r="J938" s="21">
        <f>Table1[[#This Row],[interactions]]/Table1[[#This Row],[Attendance]]</f>
        <v>0.3</v>
      </c>
    </row>
    <row r="939" spans="1:10" x14ac:dyDescent="0.2">
      <c r="A939" t="s">
        <v>11</v>
      </c>
      <c r="B939" t="s">
        <v>671</v>
      </c>
      <c r="C939" s="1">
        <v>45714</v>
      </c>
      <c r="D939" t="s">
        <v>217</v>
      </c>
      <c r="E939">
        <v>15</v>
      </c>
      <c r="F939" s="18">
        <v>50</v>
      </c>
      <c r="H939" t="s">
        <v>608</v>
      </c>
      <c r="I939" t="s">
        <v>672</v>
      </c>
      <c r="J939" s="21">
        <f>Table1[[#This Row],[interactions]]/Table1[[#This Row],[Attendance]]</f>
        <v>0.3</v>
      </c>
    </row>
    <row r="940" spans="1:10" x14ac:dyDescent="0.2">
      <c r="A940" t="s">
        <v>11</v>
      </c>
      <c r="B940" t="s">
        <v>296</v>
      </c>
      <c r="C940" s="1">
        <v>45524</v>
      </c>
      <c r="D940" t="s">
        <v>217</v>
      </c>
      <c r="E940">
        <v>15</v>
      </c>
      <c r="F940" s="18">
        <v>50</v>
      </c>
      <c r="H940" t="s">
        <v>608</v>
      </c>
      <c r="I940" t="s">
        <v>627</v>
      </c>
      <c r="J940" s="21">
        <f>Table1[[#This Row],[interactions]]/Table1[[#This Row],[Attendance]]</f>
        <v>0.3</v>
      </c>
    </row>
    <row r="941" spans="1:10" x14ac:dyDescent="0.2">
      <c r="A941" t="s">
        <v>11</v>
      </c>
      <c r="B941" t="s">
        <v>1341</v>
      </c>
      <c r="C941" s="1">
        <v>45330</v>
      </c>
      <c r="D941" t="s">
        <v>366</v>
      </c>
      <c r="E941">
        <v>15</v>
      </c>
      <c r="F941" s="18">
        <v>50</v>
      </c>
      <c r="G941" t="s">
        <v>1340</v>
      </c>
      <c r="H941" t="s">
        <v>215</v>
      </c>
      <c r="J941" s="21">
        <f>Table1[[#This Row],[interactions]]/Table1[[#This Row],[Attendance]]</f>
        <v>0.3</v>
      </c>
    </row>
    <row r="942" spans="1:10" x14ac:dyDescent="0.2">
      <c r="A942" t="s">
        <v>11</v>
      </c>
      <c r="B942" t="s">
        <v>188</v>
      </c>
      <c r="C942" s="1">
        <v>44643</v>
      </c>
      <c r="D942" t="s">
        <v>48</v>
      </c>
      <c r="E942">
        <v>30</v>
      </c>
      <c r="F942" s="18">
        <v>100</v>
      </c>
      <c r="G942" t="s">
        <v>103</v>
      </c>
      <c r="H942" t="s">
        <v>10</v>
      </c>
      <c r="I942" t="s">
        <v>631</v>
      </c>
      <c r="J942" s="21">
        <f>Table1[[#This Row],[interactions]]/Table1[[#This Row],[Attendance]]</f>
        <v>0.3</v>
      </c>
    </row>
    <row r="943" spans="1:10" x14ac:dyDescent="0.2">
      <c r="A943" t="s">
        <v>11</v>
      </c>
      <c r="B943" t="s">
        <v>173</v>
      </c>
      <c r="C943" s="1">
        <v>44673</v>
      </c>
      <c r="D943" t="s">
        <v>28</v>
      </c>
      <c r="E943">
        <v>45</v>
      </c>
      <c r="F943" s="18">
        <v>150</v>
      </c>
      <c r="G943" t="s">
        <v>172</v>
      </c>
      <c r="H943" t="s">
        <v>43</v>
      </c>
      <c r="I943" t="s">
        <v>631</v>
      </c>
      <c r="J943" s="21">
        <f>Table1[[#This Row],[interactions]]/Table1[[#This Row],[Attendance]]</f>
        <v>0.3</v>
      </c>
    </row>
    <row r="944" spans="1:10" x14ac:dyDescent="0.2">
      <c r="A944" t="s">
        <v>11</v>
      </c>
      <c r="B944" t="s">
        <v>72</v>
      </c>
      <c r="C944" s="1">
        <v>44505</v>
      </c>
      <c r="D944" t="s">
        <v>48</v>
      </c>
      <c r="E944">
        <v>60</v>
      </c>
      <c r="F944" s="18">
        <v>200</v>
      </c>
      <c r="G944" t="s">
        <v>9</v>
      </c>
      <c r="H944" t="s">
        <v>22</v>
      </c>
      <c r="I944" t="s">
        <v>631</v>
      </c>
      <c r="J944" s="21">
        <f>Table1[[#This Row],[interactions]]/Table1[[#This Row],[Attendance]]</f>
        <v>0.3</v>
      </c>
    </row>
    <row r="945" spans="1:10" x14ac:dyDescent="0.2">
      <c r="A945" t="s">
        <v>782</v>
      </c>
      <c r="B945" t="s">
        <v>1026</v>
      </c>
      <c r="C945" s="1">
        <v>45491</v>
      </c>
      <c r="D945" t="s">
        <v>366</v>
      </c>
      <c r="E945">
        <v>6</v>
      </c>
      <c r="F945" s="18">
        <v>20</v>
      </c>
      <c r="G945" t="s">
        <v>1025</v>
      </c>
      <c r="H945" t="s">
        <v>621</v>
      </c>
      <c r="I945" t="s">
        <v>625</v>
      </c>
      <c r="J945" s="21">
        <f>Table1[[#This Row],[interactions]]/Table1[[#This Row],[Attendance]]</f>
        <v>0.3</v>
      </c>
    </row>
    <row r="946" spans="1:10" x14ac:dyDescent="0.2">
      <c r="A946" t="s">
        <v>15</v>
      </c>
      <c r="B946" t="s">
        <v>139</v>
      </c>
      <c r="C946" s="1">
        <v>44741</v>
      </c>
      <c r="D946" t="s">
        <v>28</v>
      </c>
      <c r="E946">
        <v>30</v>
      </c>
      <c r="F946" s="18">
        <v>100</v>
      </c>
      <c r="G946" t="s">
        <v>138</v>
      </c>
      <c r="H946" t="s">
        <v>22</v>
      </c>
      <c r="I946" t="s">
        <v>631</v>
      </c>
      <c r="J946" s="21">
        <f>Table1[[#This Row],[interactions]]/Table1[[#This Row],[Attendance]]</f>
        <v>0.3</v>
      </c>
    </row>
    <row r="947" spans="1:10" x14ac:dyDescent="0.2">
      <c r="A947" t="s">
        <v>23</v>
      </c>
      <c r="B947" t="s">
        <v>559</v>
      </c>
      <c r="C947" s="1">
        <v>44946</v>
      </c>
      <c r="D947" t="s">
        <v>366</v>
      </c>
      <c r="E947">
        <v>30</v>
      </c>
      <c r="F947" s="18">
        <v>100</v>
      </c>
      <c r="G947" t="s">
        <v>558</v>
      </c>
      <c r="H947" t="s">
        <v>22</v>
      </c>
      <c r="I947" t="s">
        <v>631</v>
      </c>
      <c r="J947" s="21">
        <f>Table1[[#This Row],[interactions]]/Table1[[#This Row],[Attendance]]</f>
        <v>0.3</v>
      </c>
    </row>
    <row r="948" spans="1:10" x14ac:dyDescent="0.2">
      <c r="A948" t="s">
        <v>1767</v>
      </c>
      <c r="B948" t="s">
        <v>1773</v>
      </c>
      <c r="C948" s="1">
        <v>45491</v>
      </c>
      <c r="D948" t="s">
        <v>1772</v>
      </c>
      <c r="E948">
        <v>30</v>
      </c>
      <c r="F948" s="18">
        <v>100</v>
      </c>
      <c r="I948" t="s">
        <v>631</v>
      </c>
      <c r="J948" s="21">
        <f>Table1[[#This Row],[interactions]]/Table1[[#This Row],[Attendance]]</f>
        <v>0.3</v>
      </c>
    </row>
    <row r="949" spans="1:10" x14ac:dyDescent="0.2">
      <c r="A949" t="s">
        <v>23</v>
      </c>
      <c r="B949" t="s">
        <v>1725</v>
      </c>
      <c r="C949" s="1">
        <v>45042</v>
      </c>
      <c r="D949" t="s">
        <v>1727</v>
      </c>
      <c r="E949">
        <v>40</v>
      </c>
      <c r="F949" s="18">
        <v>135</v>
      </c>
      <c r="G949" t="s">
        <v>1726</v>
      </c>
      <c r="H949" t="s">
        <v>452</v>
      </c>
      <c r="I949" t="s">
        <v>631</v>
      </c>
      <c r="J949" s="21">
        <f>Table1[[#This Row],[interactions]]/Table1[[#This Row],[Attendance]]</f>
        <v>0.29629629629629628</v>
      </c>
    </row>
    <row r="950" spans="1:10" x14ac:dyDescent="0.2">
      <c r="A950" t="s">
        <v>11</v>
      </c>
      <c r="B950" t="s">
        <v>1016</v>
      </c>
      <c r="C950" s="1">
        <v>45497</v>
      </c>
      <c r="D950" t="s">
        <v>366</v>
      </c>
      <c r="E950">
        <v>5</v>
      </c>
      <c r="F950" s="18">
        <v>17</v>
      </c>
      <c r="G950" t="s">
        <v>1015</v>
      </c>
      <c r="H950" t="s">
        <v>621</v>
      </c>
      <c r="I950" t="s">
        <v>642</v>
      </c>
      <c r="J950" s="21">
        <f>Table1[[#This Row],[interactions]]/Table1[[#This Row],[Attendance]]</f>
        <v>0.29411764705882354</v>
      </c>
    </row>
    <row r="951" spans="1:10" x14ac:dyDescent="0.2">
      <c r="A951" t="s">
        <v>11</v>
      </c>
      <c r="B951" t="s">
        <v>638</v>
      </c>
      <c r="C951" s="1">
        <v>45632</v>
      </c>
      <c r="D951" t="s">
        <v>366</v>
      </c>
      <c r="E951">
        <v>10</v>
      </c>
      <c r="F951" s="18">
        <v>35</v>
      </c>
      <c r="G951" t="s">
        <v>637</v>
      </c>
      <c r="H951" t="s">
        <v>612</v>
      </c>
      <c r="I951" t="s">
        <v>639</v>
      </c>
      <c r="J951" s="21">
        <f>Table1[[#This Row],[interactions]]/Table1[[#This Row],[Attendance]]</f>
        <v>0.2857142857142857</v>
      </c>
    </row>
    <row r="952" spans="1:10" x14ac:dyDescent="0.2">
      <c r="A952" t="s">
        <v>11</v>
      </c>
      <c r="B952" t="s">
        <v>738</v>
      </c>
      <c r="C952" s="1">
        <v>45552</v>
      </c>
      <c r="D952" t="s">
        <v>366</v>
      </c>
      <c r="E952">
        <v>10</v>
      </c>
      <c r="F952" s="18">
        <v>35</v>
      </c>
      <c r="G952" t="s">
        <v>837</v>
      </c>
      <c r="H952" t="s">
        <v>621</v>
      </c>
      <c r="I952" t="s">
        <v>623</v>
      </c>
      <c r="J952" s="21">
        <f>Table1[[#This Row],[interactions]]/Table1[[#This Row],[Attendance]]</f>
        <v>0.2857142857142857</v>
      </c>
    </row>
    <row r="953" spans="1:10" x14ac:dyDescent="0.2">
      <c r="A953" t="s">
        <v>11</v>
      </c>
      <c r="B953" t="s">
        <v>908</v>
      </c>
      <c r="C953" s="1">
        <v>45497</v>
      </c>
      <c r="D953" t="s">
        <v>217</v>
      </c>
      <c r="E953">
        <v>10</v>
      </c>
      <c r="F953" s="18">
        <v>35</v>
      </c>
      <c r="G953" t="s">
        <v>1013</v>
      </c>
      <c r="H953" t="s">
        <v>608</v>
      </c>
      <c r="I953" t="s">
        <v>627</v>
      </c>
      <c r="J953" s="21">
        <f>Table1[[#This Row],[interactions]]/Table1[[#This Row],[Attendance]]</f>
        <v>0.2857142857142857</v>
      </c>
    </row>
    <row r="954" spans="1:10" x14ac:dyDescent="0.2">
      <c r="A954" t="s">
        <v>11</v>
      </c>
      <c r="B954" t="s">
        <v>1235</v>
      </c>
      <c r="C954" s="1">
        <v>45398</v>
      </c>
      <c r="D954" t="s">
        <v>366</v>
      </c>
      <c r="E954">
        <v>10</v>
      </c>
      <c r="F954" s="18">
        <v>35</v>
      </c>
      <c r="G954" t="s">
        <v>1234</v>
      </c>
      <c r="H954" t="s">
        <v>1139</v>
      </c>
      <c r="J954" s="21">
        <f>Table1[[#This Row],[interactions]]/Table1[[#This Row],[Attendance]]</f>
        <v>0.2857142857142857</v>
      </c>
    </row>
    <row r="955" spans="1:10" x14ac:dyDescent="0.2">
      <c r="A955" t="s">
        <v>782</v>
      </c>
      <c r="B955" t="s">
        <v>1256</v>
      </c>
      <c r="C955" s="1">
        <v>45386</v>
      </c>
      <c r="D955" t="s">
        <v>366</v>
      </c>
      <c r="E955">
        <v>10</v>
      </c>
      <c r="F955" s="18">
        <v>35</v>
      </c>
      <c r="G955" t="s">
        <v>1255</v>
      </c>
      <c r="H955" t="s">
        <v>621</v>
      </c>
      <c r="J955" s="21">
        <f>Table1[[#This Row],[interactions]]/Table1[[#This Row],[Attendance]]</f>
        <v>0.2857142857142857</v>
      </c>
    </row>
    <row r="956" spans="1:10" x14ac:dyDescent="0.2">
      <c r="A956" t="s">
        <v>782</v>
      </c>
      <c r="B956" t="s">
        <v>732</v>
      </c>
      <c r="C956" s="1">
        <v>45679</v>
      </c>
      <c r="D956" t="s">
        <v>366</v>
      </c>
      <c r="E956">
        <v>7</v>
      </c>
      <c r="F956" s="18">
        <v>25</v>
      </c>
      <c r="H956" t="s">
        <v>621</v>
      </c>
      <c r="I956" t="s">
        <v>733</v>
      </c>
      <c r="J956" s="21">
        <f>Table1[[#This Row],[interactions]]/Table1[[#This Row],[Attendance]]</f>
        <v>0.28000000000000003</v>
      </c>
    </row>
    <row r="957" spans="1:10" x14ac:dyDescent="0.2">
      <c r="A957" t="s">
        <v>11</v>
      </c>
      <c r="B957" t="s">
        <v>1016</v>
      </c>
      <c r="C957" s="1">
        <v>45483</v>
      </c>
      <c r="D957" t="s">
        <v>366</v>
      </c>
      <c r="E957">
        <v>5</v>
      </c>
      <c r="F957" s="18">
        <v>18</v>
      </c>
      <c r="G957" t="s">
        <v>1050</v>
      </c>
      <c r="H957" t="s">
        <v>621</v>
      </c>
      <c r="I957" t="s">
        <v>642</v>
      </c>
      <c r="J957" s="21">
        <f>Table1[[#This Row],[interactions]]/Table1[[#This Row],[Attendance]]</f>
        <v>0.27777777777777779</v>
      </c>
    </row>
    <row r="958" spans="1:10" x14ac:dyDescent="0.2">
      <c r="A958" t="s">
        <v>11</v>
      </c>
      <c r="B958" t="s">
        <v>459</v>
      </c>
      <c r="C958" s="1">
        <v>45079</v>
      </c>
      <c r="D958" t="s">
        <v>366</v>
      </c>
      <c r="E958">
        <v>20</v>
      </c>
      <c r="F958" s="18">
        <v>72</v>
      </c>
      <c r="G958" t="s">
        <v>458</v>
      </c>
      <c r="H958" t="s">
        <v>22</v>
      </c>
      <c r="I958" t="s">
        <v>631</v>
      </c>
      <c r="J958" s="21">
        <f>Table1[[#This Row],[interactions]]/Table1[[#This Row],[Attendance]]</f>
        <v>0.27777777777777779</v>
      </c>
    </row>
    <row r="959" spans="1:10" x14ac:dyDescent="0.2">
      <c r="A959" t="s">
        <v>782</v>
      </c>
      <c r="B959" t="s">
        <v>751</v>
      </c>
      <c r="C959" s="1">
        <v>45517</v>
      </c>
      <c r="D959" t="s">
        <v>366</v>
      </c>
      <c r="E959">
        <v>5</v>
      </c>
      <c r="F959" s="18">
        <v>18</v>
      </c>
      <c r="G959" t="s">
        <v>947</v>
      </c>
      <c r="H959" t="s">
        <v>621</v>
      </c>
      <c r="I959" t="s">
        <v>642</v>
      </c>
      <c r="J959" s="21">
        <f>Table1[[#This Row],[interactions]]/Table1[[#This Row],[Attendance]]</f>
        <v>0.27777777777777779</v>
      </c>
    </row>
    <row r="960" spans="1:10" x14ac:dyDescent="0.2">
      <c r="A960" t="s">
        <v>782</v>
      </c>
      <c r="B960" t="s">
        <v>624</v>
      </c>
      <c r="C960" s="1">
        <v>45489</v>
      </c>
      <c r="D960" t="s">
        <v>366</v>
      </c>
      <c r="E960">
        <v>5</v>
      </c>
      <c r="F960" s="18">
        <v>18</v>
      </c>
      <c r="G960" t="s">
        <v>1028</v>
      </c>
      <c r="H960" t="s">
        <v>621</v>
      </c>
      <c r="I960" t="s">
        <v>625</v>
      </c>
      <c r="J960" s="21">
        <f>Table1[[#This Row],[interactions]]/Table1[[#This Row],[Attendance]]</f>
        <v>0.27777777777777779</v>
      </c>
    </row>
    <row r="961" spans="1:10" x14ac:dyDescent="0.2">
      <c r="A961" t="s">
        <v>782</v>
      </c>
      <c r="B961" t="s">
        <v>751</v>
      </c>
      <c r="C961" s="1">
        <v>45419</v>
      </c>
      <c r="D961" t="s">
        <v>366</v>
      </c>
      <c r="E961">
        <v>5</v>
      </c>
      <c r="F961" s="18">
        <v>18</v>
      </c>
      <c r="G961" t="s">
        <v>1185</v>
      </c>
      <c r="H961" t="s">
        <v>621</v>
      </c>
      <c r="J961" s="21">
        <f>Table1[[#This Row],[interactions]]/Table1[[#This Row],[Attendance]]</f>
        <v>0.27777777777777779</v>
      </c>
    </row>
    <row r="962" spans="1:10" x14ac:dyDescent="0.2">
      <c r="A962" t="s">
        <v>721</v>
      </c>
      <c r="B962" t="s">
        <v>1632</v>
      </c>
      <c r="C962" s="1">
        <v>45710</v>
      </c>
      <c r="D962" t="s">
        <v>366</v>
      </c>
      <c r="E962">
        <v>8</v>
      </c>
      <c r="F962" s="18">
        <v>30</v>
      </c>
      <c r="H962" t="s">
        <v>621</v>
      </c>
      <c r="I962" t="s">
        <v>1433</v>
      </c>
      <c r="J962" s="21">
        <f>Table1[[#This Row],[interactions]]/Table1[[#This Row],[Attendance]]</f>
        <v>0.26666666666666666</v>
      </c>
    </row>
    <row r="963" spans="1:10" x14ac:dyDescent="0.2">
      <c r="A963" t="s">
        <v>11</v>
      </c>
      <c r="B963" t="s">
        <v>1641</v>
      </c>
      <c r="C963" s="1">
        <v>45688</v>
      </c>
      <c r="D963" t="s">
        <v>217</v>
      </c>
      <c r="E963">
        <v>4</v>
      </c>
      <c r="F963" s="18">
        <v>15</v>
      </c>
      <c r="H963" t="s">
        <v>649</v>
      </c>
      <c r="I963" t="s">
        <v>729</v>
      </c>
      <c r="J963" s="21">
        <f>Table1[[#This Row],[interactions]]/Table1[[#This Row],[Attendance]]</f>
        <v>0.26666666666666666</v>
      </c>
    </row>
    <row r="964" spans="1:10" x14ac:dyDescent="0.2">
      <c r="A964" t="s">
        <v>11</v>
      </c>
      <c r="B964" t="s">
        <v>383</v>
      </c>
      <c r="C964" s="1">
        <v>45161</v>
      </c>
      <c r="D964" t="s">
        <v>217</v>
      </c>
      <c r="E964">
        <v>8</v>
      </c>
      <c r="F964" s="18">
        <v>30</v>
      </c>
      <c r="G964" t="s">
        <v>382</v>
      </c>
      <c r="H964" t="s">
        <v>215</v>
      </c>
      <c r="I964" t="s">
        <v>631</v>
      </c>
      <c r="J964" s="21">
        <f>Table1[[#This Row],[interactions]]/Table1[[#This Row],[Attendance]]</f>
        <v>0.26666666666666666</v>
      </c>
    </row>
    <row r="965" spans="1:10" x14ac:dyDescent="0.2">
      <c r="A965" t="s">
        <v>11</v>
      </c>
      <c r="B965" t="s">
        <v>1474</v>
      </c>
      <c r="C965" s="1">
        <v>45910</v>
      </c>
      <c r="D965" t="s">
        <v>366</v>
      </c>
      <c r="E965">
        <v>20</v>
      </c>
      <c r="F965" s="18">
        <v>75</v>
      </c>
      <c r="G965" t="s">
        <v>1473</v>
      </c>
      <c r="H965" t="s">
        <v>621</v>
      </c>
      <c r="I965" t="s">
        <v>1475</v>
      </c>
      <c r="J965" s="21">
        <f>Table1[[#This Row],[interactions]]/Table1[[#This Row],[Attendance]]</f>
        <v>0.26666666666666666</v>
      </c>
    </row>
    <row r="966" spans="1:10" x14ac:dyDescent="0.2">
      <c r="A966" t="s">
        <v>782</v>
      </c>
      <c r="B966" t="s">
        <v>674</v>
      </c>
      <c r="C966" s="1">
        <v>45616</v>
      </c>
      <c r="D966" t="s">
        <v>366</v>
      </c>
      <c r="E966">
        <v>4</v>
      </c>
      <c r="F966" s="18">
        <v>15</v>
      </c>
      <c r="H966" t="s">
        <v>621</v>
      </c>
      <c r="I966" t="s">
        <v>675</v>
      </c>
      <c r="J966" s="21">
        <f>Table1[[#This Row],[interactions]]/Table1[[#This Row],[Attendance]]</f>
        <v>0.26666666666666666</v>
      </c>
    </row>
    <row r="967" spans="1:10" x14ac:dyDescent="0.2">
      <c r="A967" t="s">
        <v>782</v>
      </c>
      <c r="B967" t="s">
        <v>624</v>
      </c>
      <c r="C967" s="1">
        <v>45643</v>
      </c>
      <c r="D967" t="s">
        <v>366</v>
      </c>
      <c r="E967">
        <v>8</v>
      </c>
      <c r="F967" s="18">
        <v>30</v>
      </c>
      <c r="H967" t="s">
        <v>621</v>
      </c>
      <c r="I967" t="s">
        <v>625</v>
      </c>
      <c r="J967" s="21">
        <f>Table1[[#This Row],[interactions]]/Table1[[#This Row],[Attendance]]</f>
        <v>0.26666666666666666</v>
      </c>
    </row>
    <row r="968" spans="1:10" x14ac:dyDescent="0.2">
      <c r="A968" t="s">
        <v>15</v>
      </c>
      <c r="B968" t="s">
        <v>65</v>
      </c>
      <c r="C968" s="1">
        <v>44502</v>
      </c>
      <c r="D968" t="s">
        <v>66</v>
      </c>
      <c r="E968">
        <v>20</v>
      </c>
      <c r="F968" s="18">
        <v>75</v>
      </c>
      <c r="G968" t="s">
        <v>67</v>
      </c>
      <c r="H968" t="s">
        <v>10</v>
      </c>
      <c r="I968" t="s">
        <v>631</v>
      </c>
      <c r="J968" s="21">
        <f>Table1[[#This Row],[interactions]]/Table1[[#This Row],[Attendance]]</f>
        <v>0.26666666666666666</v>
      </c>
    </row>
    <row r="969" spans="1:10" x14ac:dyDescent="0.2">
      <c r="A969" t="s">
        <v>366</v>
      </c>
      <c r="B969" t="s">
        <v>816</v>
      </c>
      <c r="C969" s="1">
        <v>45559</v>
      </c>
      <c r="D969" t="s">
        <v>217</v>
      </c>
      <c r="E969">
        <v>8</v>
      </c>
      <c r="F969" s="18">
        <v>30</v>
      </c>
      <c r="G969" t="s">
        <v>815</v>
      </c>
      <c r="H969" t="s">
        <v>797</v>
      </c>
      <c r="I969" t="s">
        <v>735</v>
      </c>
      <c r="J969" s="21">
        <f>Table1[[#This Row],[interactions]]/Table1[[#This Row],[Attendance]]</f>
        <v>0.26666666666666666</v>
      </c>
    </row>
    <row r="970" spans="1:10" x14ac:dyDescent="0.2">
      <c r="A970" s="17" t="s">
        <v>366</v>
      </c>
      <c r="B970" t="s">
        <v>935</v>
      </c>
      <c r="C970" s="1">
        <v>45520</v>
      </c>
      <c r="D970" t="s">
        <v>217</v>
      </c>
      <c r="E970">
        <v>8</v>
      </c>
      <c r="F970" s="18">
        <v>30</v>
      </c>
      <c r="G970" t="s">
        <v>934</v>
      </c>
      <c r="H970" t="s">
        <v>797</v>
      </c>
      <c r="I970" t="s">
        <v>735</v>
      </c>
      <c r="J970" s="21">
        <f>Table1[[#This Row],[interactions]]/Table1[[#This Row],[Attendance]]</f>
        <v>0.26666666666666666</v>
      </c>
    </row>
    <row r="971" spans="1:10" x14ac:dyDescent="0.2">
      <c r="A971" t="s">
        <v>11</v>
      </c>
      <c r="B971" t="s">
        <v>671</v>
      </c>
      <c r="C971" s="1">
        <v>45924</v>
      </c>
      <c r="D971" t="s">
        <v>366</v>
      </c>
      <c r="E971">
        <v>13</v>
      </c>
      <c r="F971" s="18">
        <v>50</v>
      </c>
      <c r="H971" t="s">
        <v>1446</v>
      </c>
      <c r="I971" t="s">
        <v>672</v>
      </c>
      <c r="J971" s="21">
        <f>Table1[[#This Row],[interactions]]/Table1[[#This Row],[Attendance]]</f>
        <v>0.26</v>
      </c>
    </row>
    <row r="972" spans="1:10" x14ac:dyDescent="0.2">
      <c r="A972" t="s">
        <v>94</v>
      </c>
      <c r="B972" t="s">
        <v>785</v>
      </c>
      <c r="C972" s="1">
        <v>45568</v>
      </c>
      <c r="D972" t="s">
        <v>366</v>
      </c>
      <c r="E972">
        <v>10</v>
      </c>
      <c r="F972" s="18">
        <v>40</v>
      </c>
      <c r="G972" t="s">
        <v>784</v>
      </c>
      <c r="H972" t="s">
        <v>621</v>
      </c>
      <c r="I972" t="s">
        <v>663</v>
      </c>
      <c r="J972" s="21">
        <f>Table1[[#This Row],[interactions]]/Table1[[#This Row],[Attendance]]</f>
        <v>0.25</v>
      </c>
    </row>
    <row r="973" spans="1:10" x14ac:dyDescent="0.2">
      <c r="A973" t="s">
        <v>94</v>
      </c>
      <c r="B973" t="s">
        <v>279</v>
      </c>
      <c r="C973" s="1">
        <v>45227</v>
      </c>
      <c r="D973" t="s">
        <v>115</v>
      </c>
      <c r="E973">
        <v>1000</v>
      </c>
      <c r="F973" s="18">
        <v>4000</v>
      </c>
      <c r="G973" t="s">
        <v>278</v>
      </c>
      <c r="H973" t="s">
        <v>219</v>
      </c>
      <c r="I973" t="s">
        <v>631</v>
      </c>
      <c r="J973" s="21">
        <f>Table1[[#This Row],[interactions]]/Table1[[#This Row],[Attendance]]</f>
        <v>0.25</v>
      </c>
    </row>
    <row r="974" spans="1:10" x14ac:dyDescent="0.2">
      <c r="A974" t="s">
        <v>94</v>
      </c>
      <c r="B974" t="s">
        <v>347</v>
      </c>
      <c r="C974" s="1">
        <v>45185</v>
      </c>
      <c r="D974" t="s">
        <v>334</v>
      </c>
      <c r="E974">
        <v>1000</v>
      </c>
      <c r="F974" s="18">
        <v>4000</v>
      </c>
      <c r="G974" t="s">
        <v>346</v>
      </c>
      <c r="H974" t="s">
        <v>219</v>
      </c>
      <c r="I974" t="s">
        <v>631</v>
      </c>
      <c r="J974" s="21">
        <f>Table1[[#This Row],[interactions]]/Table1[[#This Row],[Attendance]]</f>
        <v>0.25</v>
      </c>
    </row>
    <row r="975" spans="1:10" x14ac:dyDescent="0.2">
      <c r="A975" t="s">
        <v>11</v>
      </c>
      <c r="B975" t="s">
        <v>774</v>
      </c>
      <c r="C975" s="1">
        <v>45569</v>
      </c>
      <c r="D975" t="s">
        <v>366</v>
      </c>
      <c r="E975">
        <v>5</v>
      </c>
      <c r="F975" s="18">
        <v>20</v>
      </c>
      <c r="I975" t="s">
        <v>607</v>
      </c>
      <c r="J975" s="21">
        <f>Table1[[#This Row],[interactions]]/Table1[[#This Row],[Attendance]]</f>
        <v>0.25</v>
      </c>
    </row>
    <row r="976" spans="1:10" x14ac:dyDescent="0.2">
      <c r="A976" t="s">
        <v>11</v>
      </c>
      <c r="B976" t="s">
        <v>1010</v>
      </c>
      <c r="C976" s="1">
        <v>45498</v>
      </c>
      <c r="D976" t="s">
        <v>366</v>
      </c>
      <c r="E976">
        <v>5</v>
      </c>
      <c r="F976" s="18">
        <v>20</v>
      </c>
      <c r="G976" t="s">
        <v>1009</v>
      </c>
      <c r="H976" t="s">
        <v>621</v>
      </c>
      <c r="I976" t="s">
        <v>802</v>
      </c>
      <c r="J976" s="21">
        <f>Table1[[#This Row],[interactions]]/Table1[[#This Row],[Attendance]]</f>
        <v>0.25</v>
      </c>
    </row>
    <row r="977" spans="1:10" x14ac:dyDescent="0.2">
      <c r="A977" t="s">
        <v>11</v>
      </c>
      <c r="B977" t="s">
        <v>58</v>
      </c>
      <c r="C977" s="1">
        <v>44489</v>
      </c>
      <c r="D977" t="s">
        <v>48</v>
      </c>
      <c r="E977">
        <v>5</v>
      </c>
      <c r="F977" s="18">
        <v>20</v>
      </c>
      <c r="G977" t="s">
        <v>59</v>
      </c>
      <c r="H977" t="s">
        <v>22</v>
      </c>
      <c r="I977" t="s">
        <v>631</v>
      </c>
      <c r="J977" s="21">
        <f>Table1[[#This Row],[interactions]]/Table1[[#This Row],[Attendance]]</f>
        <v>0.25</v>
      </c>
    </row>
    <row r="978" spans="1:10" x14ac:dyDescent="0.2">
      <c r="A978" t="s">
        <v>11</v>
      </c>
      <c r="B978" t="s">
        <v>647</v>
      </c>
      <c r="C978" s="1">
        <v>45631</v>
      </c>
      <c r="D978" t="s">
        <v>366</v>
      </c>
      <c r="E978">
        <v>10</v>
      </c>
      <c r="F978" s="18">
        <v>40</v>
      </c>
      <c r="G978" t="s">
        <v>646</v>
      </c>
      <c r="H978" t="s">
        <v>621</v>
      </c>
      <c r="I978" t="s">
        <v>648</v>
      </c>
      <c r="J978" s="21">
        <f>Table1[[#This Row],[interactions]]/Table1[[#This Row],[Attendance]]</f>
        <v>0.25</v>
      </c>
    </row>
    <row r="979" spans="1:10" x14ac:dyDescent="0.2">
      <c r="A979" t="s">
        <v>11</v>
      </c>
      <c r="B979" t="s">
        <v>1443</v>
      </c>
      <c r="C979" s="1">
        <v>45925</v>
      </c>
      <c r="D979" t="s">
        <v>366</v>
      </c>
      <c r="E979">
        <v>15</v>
      </c>
      <c r="F979" s="18">
        <v>60</v>
      </c>
      <c r="H979" t="s">
        <v>621</v>
      </c>
      <c r="I979" t="s">
        <v>642</v>
      </c>
      <c r="J979" s="21">
        <f>Table1[[#This Row],[interactions]]/Table1[[#This Row],[Attendance]]</f>
        <v>0.25</v>
      </c>
    </row>
    <row r="980" spans="1:10" x14ac:dyDescent="0.2">
      <c r="A980" t="s">
        <v>11</v>
      </c>
      <c r="B980" t="s">
        <v>1304</v>
      </c>
      <c r="C980" s="1">
        <v>45364</v>
      </c>
      <c r="D980" t="s">
        <v>217</v>
      </c>
      <c r="E980">
        <v>15</v>
      </c>
      <c r="F980" s="18">
        <v>60</v>
      </c>
      <c r="G980" t="s">
        <v>1303</v>
      </c>
      <c r="H980" t="s">
        <v>1302</v>
      </c>
      <c r="J980" s="21">
        <f>Table1[[#This Row],[interactions]]/Table1[[#This Row],[Attendance]]</f>
        <v>0.25</v>
      </c>
    </row>
    <row r="981" spans="1:10" x14ac:dyDescent="0.2">
      <c r="A981" t="s">
        <v>11</v>
      </c>
      <c r="B981" t="s">
        <v>978</v>
      </c>
      <c r="C981" s="1">
        <v>45352</v>
      </c>
      <c r="D981" t="s">
        <v>217</v>
      </c>
      <c r="E981">
        <v>15</v>
      </c>
      <c r="F981" s="18">
        <v>60</v>
      </c>
      <c r="G981" t="s">
        <v>1319</v>
      </c>
      <c r="H981" t="s">
        <v>1208</v>
      </c>
      <c r="J981" s="21">
        <f>Table1[[#This Row],[interactions]]/Table1[[#This Row],[Attendance]]</f>
        <v>0.25</v>
      </c>
    </row>
    <row r="982" spans="1:10" x14ac:dyDescent="0.2">
      <c r="A982" t="s">
        <v>11</v>
      </c>
      <c r="B982" t="s">
        <v>1034</v>
      </c>
      <c r="C982" s="1">
        <v>45772</v>
      </c>
      <c r="D982" t="s">
        <v>366</v>
      </c>
      <c r="E982">
        <v>25</v>
      </c>
      <c r="F982" s="18">
        <v>100</v>
      </c>
      <c r="H982" t="s">
        <v>621</v>
      </c>
      <c r="I982" t="s">
        <v>648</v>
      </c>
      <c r="J982" s="21">
        <f>Table1[[#This Row],[interactions]]/Table1[[#This Row],[Attendance]]</f>
        <v>0.25</v>
      </c>
    </row>
    <row r="983" spans="1:10" x14ac:dyDescent="0.2">
      <c r="A983" t="s">
        <v>11</v>
      </c>
      <c r="B983" t="s">
        <v>1212</v>
      </c>
      <c r="C983" s="1">
        <v>45408</v>
      </c>
      <c r="D983" t="s">
        <v>217</v>
      </c>
      <c r="E983">
        <v>25</v>
      </c>
      <c r="F983" s="18">
        <v>100</v>
      </c>
      <c r="G983" t="s">
        <v>1211</v>
      </c>
      <c r="H983" t="s">
        <v>936</v>
      </c>
      <c r="J983" s="21">
        <f>Table1[[#This Row],[interactions]]/Table1[[#This Row],[Attendance]]</f>
        <v>0.25</v>
      </c>
    </row>
    <row r="984" spans="1:10" x14ac:dyDescent="0.2">
      <c r="A984" t="s">
        <v>11</v>
      </c>
      <c r="B984" t="s">
        <v>566</v>
      </c>
      <c r="C984" s="1">
        <v>44944</v>
      </c>
      <c r="D984" t="s">
        <v>366</v>
      </c>
      <c r="E984">
        <v>25</v>
      </c>
      <c r="F984" s="18">
        <v>100</v>
      </c>
      <c r="G984" t="s">
        <v>565</v>
      </c>
      <c r="H984" t="s">
        <v>564</v>
      </c>
      <c r="I984" t="s">
        <v>631</v>
      </c>
      <c r="J984" s="21">
        <f>Table1[[#This Row],[interactions]]/Table1[[#This Row],[Attendance]]</f>
        <v>0.25</v>
      </c>
    </row>
    <row r="985" spans="1:10" x14ac:dyDescent="0.2">
      <c r="A985" t="s">
        <v>11</v>
      </c>
      <c r="B985" t="s">
        <v>501</v>
      </c>
      <c r="C985" s="1">
        <v>45020</v>
      </c>
      <c r="D985" t="s">
        <v>366</v>
      </c>
      <c r="E985">
        <v>50</v>
      </c>
      <c r="F985" s="18">
        <v>200</v>
      </c>
      <c r="G985" t="s">
        <v>500</v>
      </c>
      <c r="H985" t="s">
        <v>490</v>
      </c>
      <c r="I985" t="s">
        <v>631</v>
      </c>
      <c r="J985" s="21">
        <f>Table1[[#This Row],[interactions]]/Table1[[#This Row],[Attendance]]</f>
        <v>0.25</v>
      </c>
    </row>
    <row r="986" spans="1:10" x14ac:dyDescent="0.2">
      <c r="A986" t="s">
        <v>11</v>
      </c>
      <c r="B986" t="s">
        <v>72</v>
      </c>
      <c r="C986" s="1">
        <v>44869</v>
      </c>
      <c r="D986" t="s">
        <v>48</v>
      </c>
      <c r="E986">
        <v>50</v>
      </c>
      <c r="F986" s="18">
        <v>200</v>
      </c>
      <c r="G986" t="s">
        <v>103</v>
      </c>
      <c r="H986" t="s">
        <v>22</v>
      </c>
      <c r="I986" t="s">
        <v>631</v>
      </c>
      <c r="J986" s="21">
        <f>Table1[[#This Row],[interactions]]/Table1[[#This Row],[Attendance]]</f>
        <v>0.25</v>
      </c>
    </row>
    <row r="987" spans="1:10" x14ac:dyDescent="0.2">
      <c r="A987" t="s">
        <v>11</v>
      </c>
      <c r="B987" t="s">
        <v>40</v>
      </c>
      <c r="C987" s="1">
        <v>44476</v>
      </c>
      <c r="D987" t="s">
        <v>41</v>
      </c>
      <c r="E987">
        <v>50</v>
      </c>
      <c r="F987" s="18">
        <v>200</v>
      </c>
      <c r="G987" t="s">
        <v>42</v>
      </c>
      <c r="H987" t="s">
        <v>43</v>
      </c>
      <c r="I987" t="s">
        <v>631</v>
      </c>
      <c r="J987" s="21">
        <f>Table1[[#This Row],[interactions]]/Table1[[#This Row],[Attendance]]</f>
        <v>0.25</v>
      </c>
    </row>
    <row r="988" spans="1:10" x14ac:dyDescent="0.2">
      <c r="A988" t="s">
        <v>11</v>
      </c>
      <c r="B988" t="s">
        <v>539</v>
      </c>
      <c r="C988" s="1">
        <v>44973</v>
      </c>
      <c r="D988" t="s">
        <v>217</v>
      </c>
      <c r="E988">
        <v>100</v>
      </c>
      <c r="F988" s="18">
        <v>400</v>
      </c>
      <c r="G988" t="s">
        <v>538</v>
      </c>
      <c r="H988" t="s">
        <v>215</v>
      </c>
      <c r="I988" t="s">
        <v>631</v>
      </c>
      <c r="J988" s="21">
        <f>Table1[[#This Row],[interactions]]/Table1[[#This Row],[Attendance]]</f>
        <v>0.25</v>
      </c>
    </row>
    <row r="989" spans="1:10" x14ac:dyDescent="0.2">
      <c r="A989" t="s">
        <v>782</v>
      </c>
      <c r="B989" t="s">
        <v>674</v>
      </c>
      <c r="C989" s="1">
        <v>45581</v>
      </c>
      <c r="D989" t="s">
        <v>366</v>
      </c>
      <c r="E989">
        <v>3</v>
      </c>
      <c r="F989" s="18">
        <v>12</v>
      </c>
      <c r="G989" t="s">
        <v>749</v>
      </c>
      <c r="H989" t="s">
        <v>621</v>
      </c>
      <c r="I989" t="s">
        <v>675</v>
      </c>
      <c r="J989" s="21">
        <f>Table1[[#This Row],[interactions]]/Table1[[#This Row],[Attendance]]</f>
        <v>0.25</v>
      </c>
    </row>
    <row r="990" spans="1:10" x14ac:dyDescent="0.2">
      <c r="A990" t="s">
        <v>782</v>
      </c>
      <c r="B990" t="s">
        <v>624</v>
      </c>
      <c r="C990" s="1">
        <v>45594</v>
      </c>
      <c r="D990" t="s">
        <v>366</v>
      </c>
      <c r="E990">
        <v>5</v>
      </c>
      <c r="F990" s="18">
        <v>20</v>
      </c>
      <c r="H990" t="s">
        <v>621</v>
      </c>
      <c r="I990" t="s">
        <v>625</v>
      </c>
      <c r="J990" s="21">
        <f>Table1[[#This Row],[interactions]]/Table1[[#This Row],[Attendance]]</f>
        <v>0.25</v>
      </c>
    </row>
    <row r="991" spans="1:10" x14ac:dyDescent="0.2">
      <c r="A991" t="s">
        <v>782</v>
      </c>
      <c r="B991" t="s">
        <v>732</v>
      </c>
      <c r="C991" s="1">
        <v>45413</v>
      </c>
      <c r="D991" t="s">
        <v>366</v>
      </c>
      <c r="E991">
        <v>5</v>
      </c>
      <c r="F991" s="18">
        <v>20</v>
      </c>
      <c r="G991" t="s">
        <v>1198</v>
      </c>
      <c r="H991" t="s">
        <v>621</v>
      </c>
      <c r="J991" s="21">
        <f>Table1[[#This Row],[interactions]]/Table1[[#This Row],[Attendance]]</f>
        <v>0.25</v>
      </c>
    </row>
    <row r="992" spans="1:10" x14ac:dyDescent="0.2">
      <c r="A992" t="s">
        <v>15</v>
      </c>
      <c r="B992" t="s">
        <v>913</v>
      </c>
      <c r="C992" s="1">
        <v>45531</v>
      </c>
      <c r="D992" t="s">
        <v>217</v>
      </c>
      <c r="E992">
        <v>3</v>
      </c>
      <c r="F992" s="18">
        <v>12</v>
      </c>
      <c r="H992" t="s">
        <v>608</v>
      </c>
      <c r="I992" t="s">
        <v>610</v>
      </c>
      <c r="J992" s="21">
        <f>Table1[[#This Row],[interactions]]/Table1[[#This Row],[Attendance]]</f>
        <v>0.25</v>
      </c>
    </row>
    <row r="993" spans="1:10" x14ac:dyDescent="0.2">
      <c r="A993" t="s">
        <v>15</v>
      </c>
      <c r="B993" t="s">
        <v>1578</v>
      </c>
      <c r="C993" s="1">
        <v>45771</v>
      </c>
      <c r="D993" t="s">
        <v>217</v>
      </c>
      <c r="E993">
        <v>20</v>
      </c>
      <c r="F993" s="18">
        <v>80</v>
      </c>
      <c r="H993" t="s">
        <v>608</v>
      </c>
      <c r="I993" t="s">
        <v>679</v>
      </c>
      <c r="J993" s="21">
        <f>Table1[[#This Row],[interactions]]/Table1[[#This Row],[Attendance]]</f>
        <v>0.25</v>
      </c>
    </row>
    <row r="994" spans="1:10" x14ac:dyDescent="0.2">
      <c r="A994" t="s">
        <v>15</v>
      </c>
      <c r="B994" t="s">
        <v>191</v>
      </c>
      <c r="C994" s="1">
        <v>44639</v>
      </c>
      <c r="D994" t="s">
        <v>28</v>
      </c>
      <c r="E994">
        <v>100</v>
      </c>
      <c r="F994" s="18">
        <v>400</v>
      </c>
      <c r="G994" t="s">
        <v>190</v>
      </c>
      <c r="H994" t="s">
        <v>43</v>
      </c>
      <c r="I994" t="s">
        <v>631</v>
      </c>
      <c r="J994" s="21">
        <f>Table1[[#This Row],[interactions]]/Table1[[#This Row],[Attendance]]</f>
        <v>0.25</v>
      </c>
    </row>
    <row r="995" spans="1:10" x14ac:dyDescent="0.2">
      <c r="A995" t="s">
        <v>23</v>
      </c>
      <c r="B995" t="s">
        <v>536</v>
      </c>
      <c r="C995" s="1">
        <v>44974</v>
      </c>
      <c r="D995" t="s">
        <v>217</v>
      </c>
      <c r="E995">
        <v>50</v>
      </c>
      <c r="F995" s="18">
        <v>200</v>
      </c>
      <c r="G995" t="s">
        <v>535</v>
      </c>
      <c r="H995" t="s">
        <v>525</v>
      </c>
      <c r="I995" t="s">
        <v>631</v>
      </c>
      <c r="J995" s="21">
        <f>Table1[[#This Row],[interactions]]/Table1[[#This Row],[Attendance]]</f>
        <v>0.25</v>
      </c>
    </row>
    <row r="996" spans="1:10" x14ac:dyDescent="0.2">
      <c r="A996" t="s">
        <v>11</v>
      </c>
      <c r="B996" t="s">
        <v>269</v>
      </c>
      <c r="C996" s="1">
        <v>45217</v>
      </c>
      <c r="D996" t="s">
        <v>217</v>
      </c>
      <c r="E996">
        <v>6</v>
      </c>
      <c r="F996" s="18">
        <v>25</v>
      </c>
      <c r="G996" t="s">
        <v>294</v>
      </c>
      <c r="H996" t="s">
        <v>215</v>
      </c>
      <c r="I996" t="s">
        <v>631</v>
      </c>
      <c r="J996" s="21">
        <f>Table1[[#This Row],[interactions]]/Table1[[#This Row],[Attendance]]</f>
        <v>0.24</v>
      </c>
    </row>
    <row r="997" spans="1:10" x14ac:dyDescent="0.2">
      <c r="A997" t="s">
        <v>11</v>
      </c>
      <c r="B997" t="s">
        <v>296</v>
      </c>
      <c r="C997" s="1">
        <v>45762</v>
      </c>
      <c r="D997" t="s">
        <v>366</v>
      </c>
      <c r="E997">
        <v>12</v>
      </c>
      <c r="F997" s="18">
        <v>50</v>
      </c>
      <c r="H997" t="s">
        <v>608</v>
      </c>
      <c r="I997" t="s">
        <v>627</v>
      </c>
      <c r="J997" s="21">
        <f>Table1[[#This Row],[interactions]]/Table1[[#This Row],[Attendance]]</f>
        <v>0.24</v>
      </c>
    </row>
    <row r="998" spans="1:10" x14ac:dyDescent="0.2">
      <c r="A998" t="s">
        <v>11</v>
      </c>
      <c r="B998" t="s">
        <v>296</v>
      </c>
      <c r="C998" s="1">
        <v>45643</v>
      </c>
      <c r="D998" t="s">
        <v>366</v>
      </c>
      <c r="E998">
        <v>12</v>
      </c>
      <c r="F998" s="18">
        <v>50</v>
      </c>
      <c r="G998" t="s">
        <v>626</v>
      </c>
      <c r="H998" t="s">
        <v>608</v>
      </c>
      <c r="I998" t="s">
        <v>627</v>
      </c>
      <c r="J998" s="21">
        <f>Table1[[#This Row],[interactions]]/Table1[[#This Row],[Attendance]]</f>
        <v>0.24</v>
      </c>
    </row>
    <row r="999" spans="1:10" x14ac:dyDescent="0.2">
      <c r="A999" t="s">
        <v>11</v>
      </c>
      <c r="B999" t="s">
        <v>724</v>
      </c>
      <c r="C999" s="1">
        <v>45953</v>
      </c>
      <c r="D999" t="s">
        <v>366</v>
      </c>
      <c r="E999">
        <v>18</v>
      </c>
      <c r="F999" s="18">
        <v>75</v>
      </c>
      <c r="H999" t="s">
        <v>621</v>
      </c>
      <c r="I999" t="s">
        <v>642</v>
      </c>
      <c r="J999" s="21">
        <f>Table1[[#This Row],[interactions]]/Table1[[#This Row],[Attendance]]</f>
        <v>0.24</v>
      </c>
    </row>
    <row r="1000" spans="1:10" x14ac:dyDescent="0.2">
      <c r="A1000" t="s">
        <v>366</v>
      </c>
      <c r="B1000" t="s">
        <v>1375</v>
      </c>
      <c r="C1000" s="1">
        <v>45021</v>
      </c>
      <c r="D1000" t="s">
        <v>217</v>
      </c>
      <c r="E1000">
        <v>20</v>
      </c>
      <c r="F1000" s="18">
        <v>85</v>
      </c>
      <c r="G1000" t="s">
        <v>1374</v>
      </c>
      <c r="H1000" t="s">
        <v>1139</v>
      </c>
      <c r="J1000" s="21">
        <f>Table1[[#This Row],[interactions]]/Table1[[#This Row],[Attendance]]</f>
        <v>0.23529411764705882</v>
      </c>
    </row>
    <row r="1001" spans="1:10" x14ac:dyDescent="0.2">
      <c r="A1001" t="s">
        <v>11</v>
      </c>
      <c r="B1001" t="s">
        <v>739</v>
      </c>
      <c r="C1001" s="1">
        <v>45583</v>
      </c>
      <c r="D1001" t="s">
        <v>366</v>
      </c>
      <c r="E1001">
        <v>7</v>
      </c>
      <c r="F1001" s="18">
        <v>30</v>
      </c>
      <c r="I1001" t="s">
        <v>735</v>
      </c>
      <c r="J1001" s="21">
        <f>Table1[[#This Row],[interactions]]/Table1[[#This Row],[Attendance]]</f>
        <v>0.23333333333333334</v>
      </c>
    </row>
    <row r="1002" spans="1:10" x14ac:dyDescent="0.2">
      <c r="A1002" t="s">
        <v>11</v>
      </c>
      <c r="B1002" t="s">
        <v>570</v>
      </c>
      <c r="C1002" s="1">
        <v>44945</v>
      </c>
      <c r="D1002" t="s">
        <v>366</v>
      </c>
      <c r="E1002">
        <v>7</v>
      </c>
      <c r="F1002" s="18">
        <v>30</v>
      </c>
      <c r="G1002" t="s">
        <v>569</v>
      </c>
      <c r="H1002" t="s">
        <v>215</v>
      </c>
      <c r="I1002" t="s">
        <v>631</v>
      </c>
      <c r="J1002" s="21">
        <f>Table1[[#This Row],[interactions]]/Table1[[#This Row],[Attendance]]</f>
        <v>0.23333333333333334</v>
      </c>
    </row>
    <row r="1003" spans="1:10" x14ac:dyDescent="0.2">
      <c r="A1003" t="s">
        <v>640</v>
      </c>
      <c r="B1003" t="s">
        <v>1560</v>
      </c>
      <c r="C1003" s="1">
        <v>45799</v>
      </c>
      <c r="D1003" t="s">
        <v>366</v>
      </c>
      <c r="E1003">
        <v>15</v>
      </c>
      <c r="F1003" s="18">
        <v>65</v>
      </c>
      <c r="H1003" t="s">
        <v>621</v>
      </c>
      <c r="I1003" t="s">
        <v>625</v>
      </c>
      <c r="J1003" s="21">
        <f>Table1[[#This Row],[interactions]]/Table1[[#This Row],[Attendance]]</f>
        <v>0.23076923076923078</v>
      </c>
    </row>
    <row r="1004" spans="1:10" x14ac:dyDescent="0.2">
      <c r="A1004" t="s">
        <v>11</v>
      </c>
      <c r="B1004" t="s">
        <v>972</v>
      </c>
      <c r="C1004" s="1">
        <v>45496</v>
      </c>
      <c r="D1004" t="s">
        <v>366</v>
      </c>
      <c r="E1004">
        <v>8</v>
      </c>
      <c r="F1004" s="18">
        <v>35</v>
      </c>
      <c r="G1004" t="s">
        <v>1017</v>
      </c>
      <c r="H1004" t="s">
        <v>621</v>
      </c>
      <c r="I1004" t="s">
        <v>623</v>
      </c>
      <c r="J1004" s="21">
        <f>Table1[[#This Row],[interactions]]/Table1[[#This Row],[Attendance]]</f>
        <v>0.22857142857142856</v>
      </c>
    </row>
    <row r="1005" spans="1:10" x14ac:dyDescent="0.2">
      <c r="A1005" t="s">
        <v>94</v>
      </c>
      <c r="B1005" t="s">
        <v>630</v>
      </c>
      <c r="C1005" s="1">
        <v>45640</v>
      </c>
      <c r="E1005">
        <v>675</v>
      </c>
      <c r="F1005" s="18">
        <v>3000</v>
      </c>
      <c r="G1005" t="s">
        <v>629</v>
      </c>
      <c r="H1005" t="s">
        <v>628</v>
      </c>
      <c r="I1005" t="s">
        <v>631</v>
      </c>
      <c r="J1005" s="21">
        <f>Table1[[#This Row],[interactions]]/Table1[[#This Row],[Attendance]]</f>
        <v>0.22500000000000001</v>
      </c>
    </row>
    <row r="1006" spans="1:10" x14ac:dyDescent="0.2">
      <c r="A1006" t="s">
        <v>11</v>
      </c>
      <c r="B1006" t="s">
        <v>296</v>
      </c>
      <c r="C1006" s="1">
        <v>45489</v>
      </c>
      <c r="D1006" t="s">
        <v>366</v>
      </c>
      <c r="E1006">
        <v>10</v>
      </c>
      <c r="F1006" s="18">
        <v>45</v>
      </c>
      <c r="G1006" t="s">
        <v>1027</v>
      </c>
      <c r="H1006" t="s">
        <v>608</v>
      </c>
      <c r="I1006" t="s">
        <v>627</v>
      </c>
      <c r="J1006" s="21">
        <f>Table1[[#This Row],[interactions]]/Table1[[#This Row],[Attendance]]</f>
        <v>0.22222222222222221</v>
      </c>
    </row>
    <row r="1007" spans="1:10" x14ac:dyDescent="0.2">
      <c r="A1007" t="s">
        <v>11</v>
      </c>
      <c r="B1007" t="s">
        <v>1113</v>
      </c>
      <c r="C1007" s="1">
        <v>45419</v>
      </c>
      <c r="D1007" t="s">
        <v>217</v>
      </c>
      <c r="E1007">
        <v>11</v>
      </c>
      <c r="F1007" s="18">
        <v>50</v>
      </c>
      <c r="G1007" t="s">
        <v>1182</v>
      </c>
      <c r="H1007" t="s">
        <v>608</v>
      </c>
      <c r="J1007" s="21">
        <f>Table1[[#This Row],[interactions]]/Table1[[#This Row],[Attendance]]</f>
        <v>0.22</v>
      </c>
    </row>
    <row r="1008" spans="1:10" x14ac:dyDescent="0.2">
      <c r="A1008" t="s">
        <v>11</v>
      </c>
      <c r="B1008" t="s">
        <v>1108</v>
      </c>
      <c r="C1008" s="1">
        <v>45455</v>
      </c>
      <c r="D1008" t="s">
        <v>217</v>
      </c>
      <c r="E1008">
        <v>15</v>
      </c>
      <c r="F1008" s="18">
        <v>70</v>
      </c>
      <c r="G1008" t="s">
        <v>1107</v>
      </c>
      <c r="H1008" t="s">
        <v>608</v>
      </c>
      <c r="J1008" s="21">
        <f>Table1[[#This Row],[interactions]]/Table1[[#This Row],[Attendance]]</f>
        <v>0.21428571428571427</v>
      </c>
    </row>
    <row r="1009" spans="1:10" x14ac:dyDescent="0.2">
      <c r="A1009" t="s">
        <v>366</v>
      </c>
      <c r="B1009" t="s">
        <v>787</v>
      </c>
      <c r="C1009" s="1">
        <v>45568</v>
      </c>
      <c r="D1009" t="s">
        <v>366</v>
      </c>
      <c r="E1009">
        <v>6</v>
      </c>
      <c r="F1009" s="18">
        <v>28</v>
      </c>
      <c r="G1009" t="s">
        <v>786</v>
      </c>
      <c r="H1009" t="s">
        <v>621</v>
      </c>
      <c r="I1009" t="s">
        <v>675</v>
      </c>
      <c r="J1009" s="21">
        <f>Table1[[#This Row],[interactions]]/Table1[[#This Row],[Attendance]]</f>
        <v>0.21428571428571427</v>
      </c>
    </row>
    <row r="1010" spans="1:10" x14ac:dyDescent="0.2">
      <c r="A1010" t="s">
        <v>94</v>
      </c>
      <c r="B1010" t="s">
        <v>681</v>
      </c>
      <c r="C1010" s="1">
        <v>45615</v>
      </c>
      <c r="D1010" t="s">
        <v>366</v>
      </c>
      <c r="E1010">
        <v>15</v>
      </c>
      <c r="F1010" s="18">
        <v>75</v>
      </c>
      <c r="G1010" t="s">
        <v>680</v>
      </c>
      <c r="H1010" t="s">
        <v>612</v>
      </c>
      <c r="I1010" t="s">
        <v>631</v>
      </c>
      <c r="J1010" s="21">
        <f>Table1[[#This Row],[interactions]]/Table1[[#This Row],[Attendance]]</f>
        <v>0.2</v>
      </c>
    </row>
    <row r="1011" spans="1:10" x14ac:dyDescent="0.2">
      <c r="A1011" t="s">
        <v>94</v>
      </c>
      <c r="B1011" t="s">
        <v>356</v>
      </c>
      <c r="C1011" s="1">
        <v>45178</v>
      </c>
      <c r="D1011" t="s">
        <v>334</v>
      </c>
      <c r="E1011">
        <v>500</v>
      </c>
      <c r="F1011" s="18">
        <v>2500</v>
      </c>
      <c r="G1011" t="s">
        <v>355</v>
      </c>
      <c r="H1011" t="s">
        <v>354</v>
      </c>
      <c r="I1011" t="s">
        <v>631</v>
      </c>
      <c r="J1011" s="21">
        <f>Table1[[#This Row],[interactions]]/Table1[[#This Row],[Attendance]]</f>
        <v>0.2</v>
      </c>
    </row>
    <row r="1012" spans="1:10" x14ac:dyDescent="0.2">
      <c r="A1012" t="s">
        <v>11</v>
      </c>
      <c r="B1012" t="s">
        <v>644</v>
      </c>
      <c r="C1012" s="1">
        <v>45631</v>
      </c>
      <c r="D1012" t="s">
        <v>366</v>
      </c>
      <c r="E1012">
        <v>5</v>
      </c>
      <c r="F1012" s="18">
        <v>25</v>
      </c>
      <c r="G1012" t="s">
        <v>643</v>
      </c>
      <c r="H1012" t="s">
        <v>612</v>
      </c>
      <c r="I1012" t="s">
        <v>645</v>
      </c>
      <c r="J1012" s="21">
        <f>Table1[[#This Row],[interactions]]/Table1[[#This Row],[Attendance]]</f>
        <v>0.2</v>
      </c>
    </row>
    <row r="1013" spans="1:10" x14ac:dyDescent="0.2">
      <c r="A1013" t="s">
        <v>11</v>
      </c>
      <c r="B1013" t="s">
        <v>622</v>
      </c>
      <c r="C1013" s="1">
        <v>45608</v>
      </c>
      <c r="D1013" t="s">
        <v>366</v>
      </c>
      <c r="E1013">
        <v>6</v>
      </c>
      <c r="F1013" s="18">
        <v>30</v>
      </c>
      <c r="H1013" t="s">
        <v>621</v>
      </c>
      <c r="I1013" t="s">
        <v>623</v>
      </c>
      <c r="J1013" s="21">
        <f>Table1[[#This Row],[interactions]]/Table1[[#This Row],[Attendance]]</f>
        <v>0.2</v>
      </c>
    </row>
    <row r="1014" spans="1:10" x14ac:dyDescent="0.2">
      <c r="A1014" t="s">
        <v>11</v>
      </c>
      <c r="B1014" t="s">
        <v>734</v>
      </c>
      <c r="C1014" s="1">
        <v>45587</v>
      </c>
      <c r="D1014" t="s">
        <v>217</v>
      </c>
      <c r="E1014">
        <v>6</v>
      </c>
      <c r="F1014" s="18">
        <v>30</v>
      </c>
      <c r="I1014" t="s">
        <v>735</v>
      </c>
      <c r="J1014" s="21">
        <f>Table1[[#This Row],[interactions]]/Table1[[#This Row],[Attendance]]</f>
        <v>0.2</v>
      </c>
    </row>
    <row r="1015" spans="1:10" x14ac:dyDescent="0.2">
      <c r="A1015" t="s">
        <v>11</v>
      </c>
      <c r="B1015" t="s">
        <v>955</v>
      </c>
      <c r="C1015" s="1">
        <v>45513</v>
      </c>
      <c r="D1015" t="s">
        <v>217</v>
      </c>
      <c r="E1015">
        <v>7</v>
      </c>
      <c r="F1015" s="18">
        <v>35</v>
      </c>
      <c r="G1015" t="s">
        <v>954</v>
      </c>
      <c r="H1015" t="s">
        <v>612</v>
      </c>
      <c r="I1015" t="s">
        <v>639</v>
      </c>
      <c r="J1015" s="21">
        <f>Table1[[#This Row],[interactions]]/Table1[[#This Row],[Attendance]]</f>
        <v>0.2</v>
      </c>
    </row>
    <row r="1016" spans="1:10" x14ac:dyDescent="0.2">
      <c r="A1016" t="s">
        <v>11</v>
      </c>
      <c r="B1016" t="s">
        <v>622</v>
      </c>
      <c r="C1016" s="1">
        <v>45643</v>
      </c>
      <c r="D1016" t="s">
        <v>366</v>
      </c>
      <c r="E1016">
        <v>10</v>
      </c>
      <c r="F1016" s="18">
        <v>50</v>
      </c>
      <c r="H1016" t="s">
        <v>621</v>
      </c>
      <c r="I1016" t="s">
        <v>623</v>
      </c>
      <c r="J1016" s="21">
        <f>Table1[[#This Row],[interactions]]/Table1[[#This Row],[Attendance]]</f>
        <v>0.2</v>
      </c>
    </row>
    <row r="1017" spans="1:10" x14ac:dyDescent="0.2">
      <c r="A1017" t="s">
        <v>11</v>
      </c>
      <c r="B1017" t="s">
        <v>296</v>
      </c>
      <c r="C1017" s="1">
        <v>45617</v>
      </c>
      <c r="D1017" t="s">
        <v>366</v>
      </c>
      <c r="E1017">
        <v>10</v>
      </c>
      <c r="F1017" s="18">
        <v>50</v>
      </c>
      <c r="H1017" t="s">
        <v>608</v>
      </c>
      <c r="I1017" t="s">
        <v>627</v>
      </c>
      <c r="J1017" s="21">
        <f>Table1[[#This Row],[interactions]]/Table1[[#This Row],[Attendance]]</f>
        <v>0.2</v>
      </c>
    </row>
    <row r="1018" spans="1:10" x14ac:dyDescent="0.2">
      <c r="A1018" t="s">
        <v>11</v>
      </c>
      <c r="B1018" t="s">
        <v>726</v>
      </c>
      <c r="C1018" s="1">
        <v>45588</v>
      </c>
      <c r="D1018" t="s">
        <v>366</v>
      </c>
      <c r="E1018">
        <v>10</v>
      </c>
      <c r="F1018" s="18">
        <v>50</v>
      </c>
      <c r="G1018" t="s">
        <v>725</v>
      </c>
      <c r="I1018" t="s">
        <v>607</v>
      </c>
      <c r="J1018" s="21">
        <f>Table1[[#This Row],[interactions]]/Table1[[#This Row],[Attendance]]</f>
        <v>0.2</v>
      </c>
    </row>
    <row r="1019" spans="1:10" x14ac:dyDescent="0.2">
      <c r="A1019" t="s">
        <v>11</v>
      </c>
      <c r="B1019" t="s">
        <v>748</v>
      </c>
      <c r="C1019" s="1">
        <v>45581</v>
      </c>
      <c r="D1019" t="s">
        <v>366</v>
      </c>
      <c r="E1019">
        <v>10</v>
      </c>
      <c r="F1019" s="18">
        <v>50</v>
      </c>
      <c r="G1019" t="s">
        <v>747</v>
      </c>
      <c r="H1019" t="s">
        <v>621</v>
      </c>
      <c r="I1019" t="s">
        <v>648</v>
      </c>
      <c r="J1019" s="21">
        <f>Table1[[#This Row],[interactions]]/Table1[[#This Row],[Attendance]]</f>
        <v>0.2</v>
      </c>
    </row>
    <row r="1020" spans="1:10" x14ac:dyDescent="0.2">
      <c r="A1020" t="s">
        <v>11</v>
      </c>
      <c r="B1020" t="s">
        <v>273</v>
      </c>
      <c r="C1020" s="1">
        <v>45233</v>
      </c>
      <c r="D1020" t="s">
        <v>217</v>
      </c>
      <c r="E1020">
        <v>15</v>
      </c>
      <c r="F1020" s="18">
        <v>75</v>
      </c>
      <c r="G1020" t="s">
        <v>272</v>
      </c>
      <c r="H1020" t="s">
        <v>229</v>
      </c>
      <c r="I1020" t="s">
        <v>631</v>
      </c>
      <c r="J1020" s="21">
        <f>Table1[[#This Row],[interactions]]/Table1[[#This Row],[Attendance]]</f>
        <v>0.2</v>
      </c>
    </row>
    <row r="1021" spans="1:10" x14ac:dyDescent="0.2">
      <c r="A1021" t="s">
        <v>11</v>
      </c>
      <c r="B1021" t="s">
        <v>302</v>
      </c>
      <c r="C1021" s="1">
        <v>46125</v>
      </c>
      <c r="D1021" t="s">
        <v>217</v>
      </c>
      <c r="E1021">
        <v>20</v>
      </c>
      <c r="F1021" s="18">
        <v>100</v>
      </c>
      <c r="G1021" t="s">
        <v>491</v>
      </c>
      <c r="H1021" t="s">
        <v>490</v>
      </c>
      <c r="I1021" t="s">
        <v>631</v>
      </c>
      <c r="J1021" s="21">
        <f>Table1[[#This Row],[interactions]]/Table1[[#This Row],[Attendance]]</f>
        <v>0.2</v>
      </c>
    </row>
    <row r="1022" spans="1:10" x14ac:dyDescent="0.2">
      <c r="A1022" t="s">
        <v>11</v>
      </c>
      <c r="B1022" t="s">
        <v>1415</v>
      </c>
      <c r="C1022" s="1">
        <v>45946</v>
      </c>
      <c r="D1022" t="s">
        <v>366</v>
      </c>
      <c r="E1022">
        <v>20</v>
      </c>
      <c r="F1022" s="18">
        <v>100</v>
      </c>
      <c r="H1022" t="s">
        <v>621</v>
      </c>
      <c r="I1022" t="s">
        <v>675</v>
      </c>
      <c r="J1022" s="21">
        <f>Table1[[#This Row],[interactions]]/Table1[[#This Row],[Attendance]]</f>
        <v>0.2</v>
      </c>
    </row>
    <row r="1023" spans="1:10" x14ac:dyDescent="0.2">
      <c r="A1023" t="s">
        <v>11</v>
      </c>
      <c r="B1023" t="s">
        <v>1548</v>
      </c>
      <c r="C1023" s="1">
        <v>45833</v>
      </c>
      <c r="D1023" t="s">
        <v>217</v>
      </c>
      <c r="E1023">
        <v>20</v>
      </c>
      <c r="F1023" s="18">
        <v>100</v>
      </c>
      <c r="H1023" t="s">
        <v>490</v>
      </c>
      <c r="I1023" t="s">
        <v>596</v>
      </c>
      <c r="J1023" s="21">
        <f>Table1[[#This Row],[interactions]]/Table1[[#This Row],[Attendance]]</f>
        <v>0.2</v>
      </c>
    </row>
    <row r="1024" spans="1:10" x14ac:dyDescent="0.2">
      <c r="A1024" t="s">
        <v>11</v>
      </c>
      <c r="B1024" t="s">
        <v>1557</v>
      </c>
      <c r="C1024" s="1">
        <v>45819</v>
      </c>
      <c r="D1024" t="s">
        <v>217</v>
      </c>
      <c r="E1024">
        <v>20</v>
      </c>
      <c r="F1024" s="18">
        <v>100</v>
      </c>
      <c r="H1024" t="s">
        <v>490</v>
      </c>
      <c r="I1024" t="s">
        <v>593</v>
      </c>
      <c r="J1024" s="21">
        <f>Table1[[#This Row],[interactions]]/Table1[[#This Row],[Attendance]]</f>
        <v>0.2</v>
      </c>
    </row>
    <row r="1025" spans="1:10" x14ac:dyDescent="0.2">
      <c r="A1025" t="s">
        <v>11</v>
      </c>
      <c r="B1025" t="s">
        <v>1007</v>
      </c>
      <c r="C1025" s="1">
        <v>45498</v>
      </c>
      <c r="D1025" t="s">
        <v>217</v>
      </c>
      <c r="E1025">
        <v>20</v>
      </c>
      <c r="F1025" s="18">
        <v>100</v>
      </c>
      <c r="G1025" t="s">
        <v>1006</v>
      </c>
      <c r="H1025" t="s">
        <v>1005</v>
      </c>
      <c r="I1025" t="s">
        <v>593</v>
      </c>
      <c r="J1025" s="21">
        <f>Table1[[#This Row],[interactions]]/Table1[[#This Row],[Attendance]]</f>
        <v>0.2</v>
      </c>
    </row>
    <row r="1026" spans="1:10" x14ac:dyDescent="0.2">
      <c r="A1026" t="s">
        <v>11</v>
      </c>
      <c r="B1026" t="s">
        <v>671</v>
      </c>
      <c r="C1026" s="1">
        <v>45497</v>
      </c>
      <c r="D1026" t="s">
        <v>217</v>
      </c>
      <c r="E1026">
        <v>20</v>
      </c>
      <c r="F1026" s="18">
        <v>100</v>
      </c>
      <c r="G1026" t="s">
        <v>1014</v>
      </c>
      <c r="H1026" t="s">
        <v>608</v>
      </c>
      <c r="I1026" t="s">
        <v>672</v>
      </c>
      <c r="J1026" s="21">
        <f>Table1[[#This Row],[interactions]]/Table1[[#This Row],[Attendance]]</f>
        <v>0.2</v>
      </c>
    </row>
    <row r="1027" spans="1:10" x14ac:dyDescent="0.2">
      <c r="A1027" t="s">
        <v>11</v>
      </c>
      <c r="B1027" t="s">
        <v>209</v>
      </c>
      <c r="C1027" s="1">
        <v>44588</v>
      </c>
      <c r="D1027" t="s">
        <v>48</v>
      </c>
      <c r="E1027">
        <v>20</v>
      </c>
      <c r="F1027" s="18">
        <v>100</v>
      </c>
      <c r="G1027" t="s">
        <v>208</v>
      </c>
      <c r="H1027" t="s">
        <v>22</v>
      </c>
      <c r="I1027" t="s">
        <v>631</v>
      </c>
      <c r="J1027" s="21">
        <f>Table1[[#This Row],[interactions]]/Table1[[#This Row],[Attendance]]</f>
        <v>0.2</v>
      </c>
    </row>
    <row r="1028" spans="1:10" x14ac:dyDescent="0.2">
      <c r="A1028" t="s">
        <v>11</v>
      </c>
      <c r="B1028" t="s">
        <v>1507</v>
      </c>
      <c r="C1028" s="1">
        <v>45883</v>
      </c>
      <c r="D1028" t="s">
        <v>217</v>
      </c>
      <c r="E1028">
        <v>30</v>
      </c>
      <c r="F1028" s="18">
        <v>150</v>
      </c>
      <c r="H1028" t="s">
        <v>608</v>
      </c>
      <c r="I1028" t="s">
        <v>610</v>
      </c>
      <c r="J1028" s="21">
        <f>Table1[[#This Row],[interactions]]/Table1[[#This Row],[Attendance]]</f>
        <v>0.2</v>
      </c>
    </row>
    <row r="1029" spans="1:10" x14ac:dyDescent="0.2">
      <c r="A1029" t="s">
        <v>11</v>
      </c>
      <c r="B1029" t="s">
        <v>1648</v>
      </c>
      <c r="C1029" s="1">
        <v>45679</v>
      </c>
      <c r="D1029" t="s">
        <v>217</v>
      </c>
      <c r="E1029">
        <v>30</v>
      </c>
      <c r="F1029" s="18">
        <v>150</v>
      </c>
      <c r="G1029" t="s">
        <v>1647</v>
      </c>
      <c r="H1029" t="s">
        <v>608</v>
      </c>
      <c r="I1029" t="s">
        <v>697</v>
      </c>
      <c r="J1029" s="21">
        <f>Table1[[#This Row],[interactions]]/Table1[[#This Row],[Attendance]]</f>
        <v>0.2</v>
      </c>
    </row>
    <row r="1030" spans="1:10" x14ac:dyDescent="0.2">
      <c r="A1030" t="s">
        <v>11</v>
      </c>
      <c r="B1030" t="s">
        <v>201</v>
      </c>
      <c r="C1030" s="1">
        <v>44614</v>
      </c>
      <c r="D1030" t="s">
        <v>48</v>
      </c>
      <c r="E1030">
        <v>30</v>
      </c>
      <c r="F1030" s="18">
        <v>150</v>
      </c>
      <c r="G1030" t="s">
        <v>103</v>
      </c>
      <c r="H1030" t="s">
        <v>22</v>
      </c>
      <c r="I1030" t="s">
        <v>631</v>
      </c>
      <c r="J1030" s="21">
        <f>Table1[[#This Row],[interactions]]/Table1[[#This Row],[Attendance]]</f>
        <v>0.2</v>
      </c>
    </row>
    <row r="1031" spans="1:10" x14ac:dyDescent="0.2">
      <c r="A1031" t="s">
        <v>782</v>
      </c>
      <c r="B1031" t="s">
        <v>1191</v>
      </c>
      <c r="C1031" s="1">
        <v>45414</v>
      </c>
      <c r="D1031" t="s">
        <v>366</v>
      </c>
      <c r="E1031">
        <v>5</v>
      </c>
      <c r="F1031" s="18">
        <v>25</v>
      </c>
      <c r="G1031" t="s">
        <v>1190</v>
      </c>
      <c r="H1031" t="s">
        <v>621</v>
      </c>
      <c r="J1031" s="21">
        <f>Table1[[#This Row],[interactions]]/Table1[[#This Row],[Attendance]]</f>
        <v>0.2</v>
      </c>
    </row>
    <row r="1032" spans="1:10" x14ac:dyDescent="0.2">
      <c r="A1032" t="s">
        <v>782</v>
      </c>
      <c r="B1032" t="s">
        <v>1068</v>
      </c>
      <c r="C1032" s="1">
        <v>45463</v>
      </c>
      <c r="D1032" t="s">
        <v>366</v>
      </c>
      <c r="E1032">
        <v>10</v>
      </c>
      <c r="F1032" s="18">
        <v>50</v>
      </c>
      <c r="G1032" t="s">
        <v>1067</v>
      </c>
      <c r="H1032" t="s">
        <v>621</v>
      </c>
      <c r="J1032" s="21">
        <f>Table1[[#This Row],[interactions]]/Table1[[#This Row],[Attendance]]</f>
        <v>0.2</v>
      </c>
    </row>
    <row r="1033" spans="1:10" x14ac:dyDescent="0.2">
      <c r="A1033" t="s">
        <v>15</v>
      </c>
      <c r="B1033" t="s">
        <v>35</v>
      </c>
      <c r="C1033" s="1">
        <v>44475</v>
      </c>
      <c r="D1033" t="s">
        <v>20</v>
      </c>
      <c r="E1033">
        <v>50</v>
      </c>
      <c r="F1033" s="18">
        <v>250</v>
      </c>
      <c r="G1033" t="s">
        <v>36</v>
      </c>
      <c r="H1033" t="s">
        <v>10</v>
      </c>
      <c r="I1033" t="s">
        <v>631</v>
      </c>
      <c r="J1033" s="21">
        <f>Table1[[#This Row],[interactions]]/Table1[[#This Row],[Attendance]]</f>
        <v>0.2</v>
      </c>
    </row>
    <row r="1034" spans="1:10" x14ac:dyDescent="0.2">
      <c r="A1034" t="s">
        <v>94</v>
      </c>
      <c r="B1034" t="s">
        <v>16</v>
      </c>
      <c r="C1034" s="1">
        <v>45119</v>
      </c>
      <c r="D1034" t="s">
        <v>1695</v>
      </c>
      <c r="E1034">
        <v>1923</v>
      </c>
      <c r="F1034" s="18">
        <v>10000</v>
      </c>
      <c r="G1034" t="s">
        <v>1694</v>
      </c>
      <c r="H1034" t="s">
        <v>1693</v>
      </c>
      <c r="I1034" t="s">
        <v>631</v>
      </c>
      <c r="J1034" s="21">
        <f>Table1[[#This Row],[interactions]]/Table1[[#This Row],[Attendance]]</f>
        <v>0.1923</v>
      </c>
    </row>
    <row r="1035" spans="1:10" x14ac:dyDescent="0.2">
      <c r="A1035" t="s">
        <v>11</v>
      </c>
      <c r="B1035" t="s">
        <v>1525</v>
      </c>
      <c r="C1035" s="1">
        <v>45862</v>
      </c>
      <c r="D1035" t="s">
        <v>217</v>
      </c>
      <c r="E1035">
        <v>10</v>
      </c>
      <c r="F1035" s="18">
        <v>55</v>
      </c>
      <c r="H1035" t="s">
        <v>649</v>
      </c>
      <c r="I1035" t="s">
        <v>603</v>
      </c>
      <c r="J1035" s="21">
        <f>Table1[[#This Row],[interactions]]/Table1[[#This Row],[Attendance]]</f>
        <v>0.18181818181818182</v>
      </c>
    </row>
    <row r="1036" spans="1:10" x14ac:dyDescent="0.2">
      <c r="A1036" t="s">
        <v>11</v>
      </c>
      <c r="B1036" t="s">
        <v>738</v>
      </c>
      <c r="C1036" s="1">
        <v>45566</v>
      </c>
      <c r="D1036" t="s">
        <v>366</v>
      </c>
      <c r="E1036">
        <v>8</v>
      </c>
      <c r="F1036" s="18">
        <v>45</v>
      </c>
      <c r="G1036" t="s">
        <v>792</v>
      </c>
      <c r="H1036" t="s">
        <v>621</v>
      </c>
      <c r="I1036" t="s">
        <v>623</v>
      </c>
      <c r="J1036" s="21">
        <f>Table1[[#This Row],[interactions]]/Table1[[#This Row],[Attendance]]</f>
        <v>0.17777777777777778</v>
      </c>
    </row>
    <row r="1037" spans="1:10" x14ac:dyDescent="0.2">
      <c r="A1037" s="17" t="s">
        <v>366</v>
      </c>
      <c r="B1037" t="s">
        <v>935</v>
      </c>
      <c r="C1037" s="1">
        <v>45492</v>
      </c>
      <c r="D1037" t="s">
        <v>217</v>
      </c>
      <c r="E1037">
        <v>7</v>
      </c>
      <c r="F1037" s="18">
        <v>40</v>
      </c>
      <c r="G1037" t="s">
        <v>1021</v>
      </c>
      <c r="H1037" t="s">
        <v>797</v>
      </c>
      <c r="I1037" t="s">
        <v>735</v>
      </c>
      <c r="J1037" s="21">
        <f>Table1[[#This Row],[interactions]]/Table1[[#This Row],[Attendance]]</f>
        <v>0.17499999999999999</v>
      </c>
    </row>
    <row r="1038" spans="1:10" x14ac:dyDescent="0.2">
      <c r="A1038" t="s">
        <v>11</v>
      </c>
      <c r="B1038" t="s">
        <v>706</v>
      </c>
      <c r="C1038" s="1">
        <v>45541</v>
      </c>
      <c r="D1038" t="s">
        <v>885</v>
      </c>
      <c r="E1038">
        <v>6</v>
      </c>
      <c r="F1038" s="18">
        <v>35</v>
      </c>
      <c r="G1038" t="s">
        <v>884</v>
      </c>
      <c r="H1038" t="s">
        <v>612</v>
      </c>
      <c r="I1038" t="s">
        <v>639</v>
      </c>
      <c r="J1038" s="21">
        <f>Table1[[#This Row],[interactions]]/Table1[[#This Row],[Attendance]]</f>
        <v>0.17142857142857143</v>
      </c>
    </row>
    <row r="1039" spans="1:10" x14ac:dyDescent="0.2">
      <c r="A1039" t="s">
        <v>11</v>
      </c>
      <c r="B1039" t="s">
        <v>1457</v>
      </c>
      <c r="C1039" s="1">
        <v>45919</v>
      </c>
      <c r="D1039" t="s">
        <v>366</v>
      </c>
      <c r="E1039">
        <v>5</v>
      </c>
      <c r="F1039" s="18">
        <v>30</v>
      </c>
      <c r="H1039" t="s">
        <v>1395</v>
      </c>
      <c r="I1039" t="s">
        <v>735</v>
      </c>
      <c r="J1039" s="21">
        <f>Table1[[#This Row],[interactions]]/Table1[[#This Row],[Attendance]]</f>
        <v>0.16666666666666666</v>
      </c>
    </row>
    <row r="1040" spans="1:10" x14ac:dyDescent="0.2">
      <c r="A1040" t="s">
        <v>11</v>
      </c>
      <c r="B1040" t="s">
        <v>1162</v>
      </c>
      <c r="C1040" s="1">
        <v>45433</v>
      </c>
      <c r="D1040" t="s">
        <v>366</v>
      </c>
      <c r="E1040">
        <v>5</v>
      </c>
      <c r="F1040" s="18">
        <v>30</v>
      </c>
      <c r="G1040" t="s">
        <v>1161</v>
      </c>
      <c r="H1040" t="s">
        <v>621</v>
      </c>
      <c r="J1040" s="21">
        <f>Table1[[#This Row],[interactions]]/Table1[[#This Row],[Attendance]]</f>
        <v>0.16666666666666666</v>
      </c>
    </row>
    <row r="1041" spans="1:10" x14ac:dyDescent="0.2">
      <c r="A1041" t="s">
        <v>11</v>
      </c>
      <c r="B1041" t="s">
        <v>1229</v>
      </c>
      <c r="C1041" s="1">
        <v>45399</v>
      </c>
      <c r="D1041" t="s">
        <v>217</v>
      </c>
      <c r="E1041">
        <v>5</v>
      </c>
      <c r="F1041" s="18">
        <v>30</v>
      </c>
      <c r="G1041" t="s">
        <v>1228</v>
      </c>
      <c r="H1041" t="s">
        <v>1093</v>
      </c>
      <c r="J1041" s="21">
        <f>Table1[[#This Row],[interactions]]/Table1[[#This Row],[Attendance]]</f>
        <v>0.16666666666666666</v>
      </c>
    </row>
    <row r="1042" spans="1:10" x14ac:dyDescent="0.2">
      <c r="A1042" t="s">
        <v>11</v>
      </c>
      <c r="B1042" t="s">
        <v>242</v>
      </c>
      <c r="C1042" s="1">
        <v>45267</v>
      </c>
      <c r="D1042" t="s">
        <v>217</v>
      </c>
      <c r="E1042">
        <v>5</v>
      </c>
      <c r="F1042" s="18">
        <v>30</v>
      </c>
      <c r="G1042" t="s">
        <v>241</v>
      </c>
      <c r="H1042" t="s">
        <v>215</v>
      </c>
      <c r="I1042" t="s">
        <v>631</v>
      </c>
      <c r="J1042" s="21">
        <f>Table1[[#This Row],[interactions]]/Table1[[#This Row],[Attendance]]</f>
        <v>0.16666666666666666</v>
      </c>
    </row>
    <row r="1043" spans="1:10" x14ac:dyDescent="0.2">
      <c r="A1043" t="s">
        <v>11</v>
      </c>
      <c r="B1043" t="s">
        <v>302</v>
      </c>
      <c r="C1043" s="1">
        <v>45211</v>
      </c>
      <c r="D1043" t="s">
        <v>217</v>
      </c>
      <c r="E1043">
        <v>5</v>
      </c>
      <c r="F1043" s="18">
        <v>30</v>
      </c>
      <c r="G1043" t="s">
        <v>301</v>
      </c>
      <c r="H1043" t="s">
        <v>215</v>
      </c>
      <c r="I1043" t="s">
        <v>631</v>
      </c>
      <c r="J1043" s="21">
        <f>Table1[[#This Row],[interactions]]/Table1[[#This Row],[Attendance]]</f>
        <v>0.16666666666666666</v>
      </c>
    </row>
    <row r="1044" spans="1:10" x14ac:dyDescent="0.2">
      <c r="A1044" t="s">
        <v>11</v>
      </c>
      <c r="B1044" t="s">
        <v>1024</v>
      </c>
      <c r="C1044" s="1">
        <v>45462</v>
      </c>
      <c r="D1044" t="s">
        <v>48</v>
      </c>
      <c r="E1044">
        <v>10</v>
      </c>
      <c r="F1044" s="18">
        <v>60</v>
      </c>
      <c r="G1044" t="s">
        <v>1077</v>
      </c>
      <c r="H1044" t="s">
        <v>797</v>
      </c>
      <c r="J1044" s="21">
        <f>Table1[[#This Row],[interactions]]/Table1[[#This Row],[Attendance]]</f>
        <v>0.16666666666666666</v>
      </c>
    </row>
    <row r="1045" spans="1:10" x14ac:dyDescent="0.2">
      <c r="A1045" t="s">
        <v>11</v>
      </c>
      <c r="B1045" t="s">
        <v>1127</v>
      </c>
      <c r="C1045" s="1">
        <v>45449</v>
      </c>
      <c r="D1045" t="s">
        <v>217</v>
      </c>
      <c r="E1045">
        <v>10</v>
      </c>
      <c r="F1045" s="18">
        <v>60</v>
      </c>
      <c r="G1045" t="s">
        <v>1126</v>
      </c>
      <c r="H1045" t="s">
        <v>1051</v>
      </c>
      <c r="J1045" s="21">
        <f>Table1[[#This Row],[interactions]]/Table1[[#This Row],[Attendance]]</f>
        <v>0.16666666666666666</v>
      </c>
    </row>
    <row r="1046" spans="1:10" x14ac:dyDescent="0.2">
      <c r="A1046" t="s">
        <v>11</v>
      </c>
      <c r="B1046" t="s">
        <v>698</v>
      </c>
      <c r="C1046" s="1">
        <v>45818</v>
      </c>
      <c r="D1046" t="s">
        <v>217</v>
      </c>
      <c r="E1046">
        <v>20</v>
      </c>
      <c r="F1046" s="18">
        <v>120</v>
      </c>
      <c r="H1046" t="s">
        <v>834</v>
      </c>
      <c r="I1046" t="s">
        <v>679</v>
      </c>
      <c r="J1046" s="21">
        <f>Table1[[#This Row],[interactions]]/Table1[[#This Row],[Attendance]]</f>
        <v>0.16666666666666666</v>
      </c>
    </row>
    <row r="1047" spans="1:10" x14ac:dyDescent="0.2">
      <c r="A1047" t="s">
        <v>11</v>
      </c>
      <c r="B1047" t="s">
        <v>847</v>
      </c>
      <c r="C1047" s="1">
        <v>45551</v>
      </c>
      <c r="D1047" t="s">
        <v>217</v>
      </c>
      <c r="E1047">
        <v>25</v>
      </c>
      <c r="F1047" s="18">
        <v>150</v>
      </c>
      <c r="G1047" t="s">
        <v>846</v>
      </c>
      <c r="H1047" t="s">
        <v>608</v>
      </c>
      <c r="I1047" t="s">
        <v>697</v>
      </c>
      <c r="J1047" s="21">
        <f>Table1[[#This Row],[interactions]]/Table1[[#This Row],[Attendance]]</f>
        <v>0.16666666666666666</v>
      </c>
    </row>
    <row r="1048" spans="1:10" x14ac:dyDescent="0.2">
      <c r="A1048" t="s">
        <v>11</v>
      </c>
      <c r="B1048" t="s">
        <v>129</v>
      </c>
      <c r="C1048" s="1">
        <v>45421</v>
      </c>
      <c r="D1048" t="s">
        <v>581</v>
      </c>
      <c r="E1048">
        <v>25</v>
      </c>
      <c r="F1048" s="18">
        <v>150</v>
      </c>
      <c r="G1048" t="s">
        <v>1178</v>
      </c>
      <c r="H1048" t="s">
        <v>612</v>
      </c>
      <c r="J1048" s="21">
        <f>Table1[[#This Row],[interactions]]/Table1[[#This Row],[Attendance]]</f>
        <v>0.16666666666666666</v>
      </c>
    </row>
    <row r="1049" spans="1:10" x14ac:dyDescent="0.2">
      <c r="A1049" t="s">
        <v>782</v>
      </c>
      <c r="B1049" t="s">
        <v>708</v>
      </c>
      <c r="C1049" s="1">
        <v>45485</v>
      </c>
      <c r="D1049" t="s">
        <v>366</v>
      </c>
      <c r="E1049">
        <v>5</v>
      </c>
      <c r="F1049" s="18">
        <v>30</v>
      </c>
      <c r="G1049" t="s">
        <v>1035</v>
      </c>
      <c r="H1049" t="s">
        <v>621</v>
      </c>
      <c r="I1049" t="s">
        <v>623</v>
      </c>
      <c r="J1049" s="21">
        <f>Table1[[#This Row],[interactions]]/Table1[[#This Row],[Attendance]]</f>
        <v>0.16666666666666666</v>
      </c>
    </row>
    <row r="1050" spans="1:10" x14ac:dyDescent="0.2">
      <c r="A1050" t="s">
        <v>15</v>
      </c>
      <c r="B1050" t="s">
        <v>1582</v>
      </c>
      <c r="C1050" s="1">
        <v>45769</v>
      </c>
      <c r="D1050" t="s">
        <v>217</v>
      </c>
      <c r="E1050">
        <v>10</v>
      </c>
      <c r="F1050" s="18">
        <v>60</v>
      </c>
      <c r="H1050" t="s">
        <v>1581</v>
      </c>
      <c r="I1050" t="s">
        <v>631</v>
      </c>
      <c r="J1050" s="21">
        <f>Table1[[#This Row],[interactions]]/Table1[[#This Row],[Attendance]]</f>
        <v>0.16666666666666666</v>
      </c>
    </row>
    <row r="1051" spans="1:10" x14ac:dyDescent="0.2">
      <c r="A1051" t="s">
        <v>11</v>
      </c>
      <c r="B1051" t="s">
        <v>1442</v>
      </c>
      <c r="C1051" s="1">
        <v>45925</v>
      </c>
      <c r="D1051" t="s">
        <v>366</v>
      </c>
      <c r="E1051">
        <v>12</v>
      </c>
      <c r="F1051" s="18">
        <v>75</v>
      </c>
      <c r="H1051" t="s">
        <v>621</v>
      </c>
      <c r="I1051" t="s">
        <v>648</v>
      </c>
      <c r="J1051" s="21">
        <f>Table1[[#This Row],[interactions]]/Table1[[#This Row],[Attendance]]</f>
        <v>0.16</v>
      </c>
    </row>
    <row r="1052" spans="1:10" x14ac:dyDescent="0.2">
      <c r="A1052" t="s">
        <v>11</v>
      </c>
      <c r="B1052" t="s">
        <v>1274</v>
      </c>
      <c r="C1052" s="1">
        <v>45379</v>
      </c>
      <c r="D1052" t="s">
        <v>217</v>
      </c>
      <c r="E1052">
        <v>20</v>
      </c>
      <c r="F1052" s="18">
        <v>125</v>
      </c>
      <c r="G1052" t="s">
        <v>1273</v>
      </c>
      <c r="H1052" t="s">
        <v>1272</v>
      </c>
      <c r="J1052" s="21">
        <f>Table1[[#This Row],[interactions]]/Table1[[#This Row],[Attendance]]</f>
        <v>0.16</v>
      </c>
    </row>
    <row r="1053" spans="1:10" x14ac:dyDescent="0.2">
      <c r="A1053" t="s">
        <v>11</v>
      </c>
      <c r="B1053" t="s">
        <v>955</v>
      </c>
      <c r="C1053" s="1">
        <v>45485</v>
      </c>
      <c r="D1053" t="s">
        <v>217</v>
      </c>
      <c r="E1053">
        <v>6</v>
      </c>
      <c r="F1053" s="18">
        <v>40</v>
      </c>
      <c r="G1053" t="s">
        <v>1032</v>
      </c>
      <c r="H1053" t="s">
        <v>612</v>
      </c>
      <c r="I1053" t="s">
        <v>639</v>
      </c>
      <c r="J1053" s="21">
        <f>Table1[[#This Row],[interactions]]/Table1[[#This Row],[Attendance]]</f>
        <v>0.15</v>
      </c>
    </row>
    <row r="1054" spans="1:10" x14ac:dyDescent="0.2">
      <c r="A1054" t="s">
        <v>11</v>
      </c>
      <c r="B1054" t="s">
        <v>671</v>
      </c>
      <c r="C1054" s="1">
        <v>45532</v>
      </c>
      <c r="D1054" t="s">
        <v>217</v>
      </c>
      <c r="E1054">
        <v>15</v>
      </c>
      <c r="F1054" s="18">
        <v>100</v>
      </c>
      <c r="G1054" t="s">
        <v>909</v>
      </c>
      <c r="H1054" t="s">
        <v>608</v>
      </c>
      <c r="I1054" t="s">
        <v>672</v>
      </c>
      <c r="J1054" s="21">
        <f>Table1[[#This Row],[interactions]]/Table1[[#This Row],[Attendance]]</f>
        <v>0.15</v>
      </c>
    </row>
    <row r="1055" spans="1:10" x14ac:dyDescent="0.2">
      <c r="A1055" t="s">
        <v>11</v>
      </c>
      <c r="B1055" t="s">
        <v>1048</v>
      </c>
      <c r="C1055" s="1">
        <v>45483</v>
      </c>
      <c r="D1055" t="s">
        <v>217</v>
      </c>
      <c r="E1055">
        <v>15</v>
      </c>
      <c r="F1055" s="18">
        <v>100</v>
      </c>
      <c r="G1055" t="s">
        <v>1047</v>
      </c>
      <c r="H1055" t="s">
        <v>608</v>
      </c>
      <c r="I1055" t="s">
        <v>660</v>
      </c>
      <c r="J1055" s="21">
        <f>Table1[[#This Row],[interactions]]/Table1[[#This Row],[Attendance]]</f>
        <v>0.15</v>
      </c>
    </row>
    <row r="1056" spans="1:10" x14ac:dyDescent="0.2">
      <c r="A1056" t="s">
        <v>11</v>
      </c>
      <c r="B1056" t="s">
        <v>1232</v>
      </c>
      <c r="C1056" s="1">
        <v>45399</v>
      </c>
      <c r="D1056" t="s">
        <v>217</v>
      </c>
      <c r="E1056">
        <v>15</v>
      </c>
      <c r="F1056" s="18">
        <v>100</v>
      </c>
      <c r="G1056" t="s">
        <v>1231</v>
      </c>
      <c r="H1056" t="s">
        <v>1230</v>
      </c>
      <c r="J1056" s="21">
        <f>Table1[[#This Row],[interactions]]/Table1[[#This Row],[Attendance]]</f>
        <v>0.15</v>
      </c>
    </row>
    <row r="1057" spans="1:10" x14ac:dyDescent="0.2">
      <c r="A1057" t="s">
        <v>11</v>
      </c>
      <c r="B1057" t="s">
        <v>671</v>
      </c>
      <c r="C1057" s="1">
        <v>45378</v>
      </c>
      <c r="D1057" t="s">
        <v>217</v>
      </c>
      <c r="E1057">
        <v>15</v>
      </c>
      <c r="F1057" s="18">
        <v>100</v>
      </c>
      <c r="G1057" t="s">
        <v>1275</v>
      </c>
      <c r="H1057" t="s">
        <v>608</v>
      </c>
      <c r="J1057" s="21">
        <f>Table1[[#This Row],[interactions]]/Table1[[#This Row],[Attendance]]</f>
        <v>0.15</v>
      </c>
    </row>
    <row r="1058" spans="1:10" x14ac:dyDescent="0.2">
      <c r="A1058" t="s">
        <v>11</v>
      </c>
      <c r="B1058" t="s">
        <v>1507</v>
      </c>
      <c r="C1058" s="1">
        <v>45883</v>
      </c>
      <c r="D1058" t="s">
        <v>217</v>
      </c>
      <c r="E1058">
        <v>30</v>
      </c>
      <c r="F1058" s="18">
        <v>200</v>
      </c>
      <c r="H1058" t="s">
        <v>649</v>
      </c>
      <c r="I1058" t="s">
        <v>617</v>
      </c>
      <c r="J1058" s="21">
        <f>Table1[[#This Row],[interactions]]/Table1[[#This Row],[Attendance]]</f>
        <v>0.15</v>
      </c>
    </row>
    <row r="1059" spans="1:10" x14ac:dyDescent="0.2">
      <c r="A1059" t="s">
        <v>15</v>
      </c>
      <c r="B1059" t="s">
        <v>1220</v>
      </c>
      <c r="C1059" s="1">
        <v>45407</v>
      </c>
      <c r="D1059" t="s">
        <v>217</v>
      </c>
      <c r="E1059">
        <v>15</v>
      </c>
      <c r="F1059" s="18">
        <v>100</v>
      </c>
      <c r="G1059" t="s">
        <v>1219</v>
      </c>
      <c r="H1059" t="s">
        <v>1218</v>
      </c>
      <c r="J1059" s="21">
        <f>Table1[[#This Row],[interactions]]/Table1[[#This Row],[Attendance]]</f>
        <v>0.15</v>
      </c>
    </row>
    <row r="1060" spans="1:10" x14ac:dyDescent="0.2">
      <c r="A1060" t="s">
        <v>15</v>
      </c>
      <c r="B1060" t="s">
        <v>836</v>
      </c>
      <c r="C1060" s="1">
        <v>45553</v>
      </c>
      <c r="D1060" t="s">
        <v>94</v>
      </c>
      <c r="E1060">
        <v>150</v>
      </c>
      <c r="F1060" s="18">
        <v>1000</v>
      </c>
      <c r="G1060" t="s">
        <v>835</v>
      </c>
      <c r="H1060" t="s">
        <v>834</v>
      </c>
      <c r="I1060" t="s">
        <v>631</v>
      </c>
      <c r="J1060" s="21">
        <f>Table1[[#This Row],[interactions]]/Table1[[#This Row],[Attendance]]</f>
        <v>0.15</v>
      </c>
    </row>
    <row r="1061" spans="1:10" x14ac:dyDescent="0.2">
      <c r="A1061" t="s">
        <v>15</v>
      </c>
      <c r="B1061" t="s">
        <v>970</v>
      </c>
      <c r="C1061" s="1">
        <v>45510</v>
      </c>
      <c r="D1061" t="s">
        <v>94</v>
      </c>
      <c r="E1061">
        <v>150</v>
      </c>
      <c r="F1061" s="18">
        <v>1000</v>
      </c>
      <c r="G1061" t="s">
        <v>969</v>
      </c>
      <c r="I1061" t="s">
        <v>631</v>
      </c>
      <c r="J1061" s="21">
        <f>Table1[[#This Row],[interactions]]/Table1[[#This Row],[Attendance]]</f>
        <v>0.15</v>
      </c>
    </row>
    <row r="1062" spans="1:10" x14ac:dyDescent="0.2">
      <c r="A1062" t="s">
        <v>640</v>
      </c>
      <c r="B1062" t="s">
        <v>1593</v>
      </c>
      <c r="C1062" s="1">
        <v>45743</v>
      </c>
      <c r="D1062" t="s">
        <v>217</v>
      </c>
      <c r="E1062">
        <v>15</v>
      </c>
      <c r="F1062" s="18">
        <v>100</v>
      </c>
      <c r="H1062" t="s">
        <v>608</v>
      </c>
      <c r="I1062" t="s">
        <v>697</v>
      </c>
      <c r="J1062" s="21">
        <f>Table1[[#This Row],[interactions]]/Table1[[#This Row],[Attendance]]</f>
        <v>0.15</v>
      </c>
    </row>
    <row r="1063" spans="1:10" x14ac:dyDescent="0.2">
      <c r="A1063" t="s">
        <v>640</v>
      </c>
      <c r="B1063" t="s">
        <v>836</v>
      </c>
      <c r="C1063" s="1">
        <v>45917</v>
      </c>
      <c r="D1063" t="s">
        <v>115</v>
      </c>
      <c r="E1063">
        <v>150</v>
      </c>
      <c r="F1063" s="18">
        <v>1000</v>
      </c>
      <c r="H1063" t="s">
        <v>1465</v>
      </c>
      <c r="I1063" t="s">
        <v>1423</v>
      </c>
      <c r="J1063" s="21">
        <f>Table1[[#This Row],[interactions]]/Table1[[#This Row],[Attendance]]</f>
        <v>0.15</v>
      </c>
    </row>
    <row r="1064" spans="1:10" x14ac:dyDescent="0.2">
      <c r="A1064" t="s">
        <v>11</v>
      </c>
      <c r="B1064" t="s">
        <v>740</v>
      </c>
      <c r="C1064" s="1">
        <v>45918</v>
      </c>
      <c r="D1064" t="s">
        <v>217</v>
      </c>
      <c r="E1064">
        <v>22</v>
      </c>
      <c r="F1064" s="18">
        <v>150</v>
      </c>
      <c r="H1064" t="s">
        <v>1409</v>
      </c>
      <c r="I1064" t="s">
        <v>1410</v>
      </c>
      <c r="J1064" s="21">
        <f>Table1[[#This Row],[interactions]]/Table1[[#This Row],[Attendance]]</f>
        <v>0.14666666666666667</v>
      </c>
    </row>
    <row r="1065" spans="1:10" x14ac:dyDescent="0.2">
      <c r="A1065" t="s">
        <v>11</v>
      </c>
      <c r="B1065" t="s">
        <v>450</v>
      </c>
      <c r="C1065" s="1">
        <v>45085</v>
      </c>
      <c r="D1065" t="s">
        <v>217</v>
      </c>
      <c r="E1065">
        <v>10</v>
      </c>
      <c r="F1065" s="18">
        <v>70</v>
      </c>
      <c r="G1065" t="s">
        <v>449</v>
      </c>
      <c r="H1065" t="s">
        <v>215</v>
      </c>
      <c r="I1065" t="s">
        <v>631</v>
      </c>
      <c r="J1065" s="21">
        <f>Table1[[#This Row],[interactions]]/Table1[[#This Row],[Attendance]]</f>
        <v>0.14285714285714285</v>
      </c>
    </row>
    <row r="1066" spans="1:10" x14ac:dyDescent="0.2">
      <c r="A1066" t="s">
        <v>11</v>
      </c>
      <c r="B1066" t="s">
        <v>300</v>
      </c>
      <c r="C1066" s="1">
        <v>45155</v>
      </c>
      <c r="D1066" t="s">
        <v>217</v>
      </c>
      <c r="E1066">
        <v>25</v>
      </c>
      <c r="F1066" s="18">
        <v>175</v>
      </c>
      <c r="G1066" t="s">
        <v>394</v>
      </c>
      <c r="H1066" t="s">
        <v>229</v>
      </c>
      <c r="I1066" t="s">
        <v>631</v>
      </c>
      <c r="J1066" s="21">
        <f>Table1[[#This Row],[interactions]]/Table1[[#This Row],[Attendance]]</f>
        <v>0.14285714285714285</v>
      </c>
    </row>
    <row r="1067" spans="1:10" x14ac:dyDescent="0.2">
      <c r="A1067" t="s">
        <v>11</v>
      </c>
      <c r="B1067" t="s">
        <v>53</v>
      </c>
      <c r="C1067" s="1">
        <v>44482</v>
      </c>
      <c r="D1067" t="s">
        <v>54</v>
      </c>
      <c r="E1067">
        <v>25</v>
      </c>
      <c r="F1067" s="18">
        <v>175</v>
      </c>
      <c r="G1067" t="s">
        <v>55</v>
      </c>
      <c r="H1067" t="s">
        <v>22</v>
      </c>
      <c r="I1067" t="s">
        <v>631</v>
      </c>
      <c r="J1067" s="21">
        <f>Table1[[#This Row],[interactions]]/Table1[[#This Row],[Attendance]]</f>
        <v>0.14285714285714285</v>
      </c>
    </row>
    <row r="1068" spans="1:10" x14ac:dyDescent="0.2">
      <c r="A1068" t="s">
        <v>94</v>
      </c>
      <c r="B1068" t="s">
        <v>754</v>
      </c>
      <c r="C1068" s="1">
        <v>45577</v>
      </c>
      <c r="D1068" t="s">
        <v>94</v>
      </c>
      <c r="E1068">
        <v>700</v>
      </c>
      <c r="F1068" s="18">
        <v>5000</v>
      </c>
      <c r="G1068" t="s">
        <v>753</v>
      </c>
      <c r="H1068" t="s">
        <v>752</v>
      </c>
      <c r="I1068" t="s">
        <v>639</v>
      </c>
      <c r="J1068" s="21">
        <f>Table1[[#This Row],[interactions]]/Table1[[#This Row],[Attendance]]</f>
        <v>0.14000000000000001</v>
      </c>
    </row>
    <row r="1069" spans="1:10" x14ac:dyDescent="0.2">
      <c r="A1069" t="s">
        <v>11</v>
      </c>
      <c r="B1069" t="s">
        <v>572</v>
      </c>
      <c r="C1069" s="1">
        <v>44938</v>
      </c>
      <c r="D1069" t="s">
        <v>366</v>
      </c>
      <c r="E1069">
        <v>14</v>
      </c>
      <c r="F1069" s="18">
        <v>100</v>
      </c>
      <c r="G1069" t="s">
        <v>571</v>
      </c>
      <c r="H1069" t="s">
        <v>530</v>
      </c>
      <c r="I1069" t="s">
        <v>631</v>
      </c>
      <c r="J1069" s="21">
        <f>Table1[[#This Row],[interactions]]/Table1[[#This Row],[Attendance]]</f>
        <v>0.14000000000000001</v>
      </c>
    </row>
    <row r="1070" spans="1:10" x14ac:dyDescent="0.2">
      <c r="A1070" t="s">
        <v>11</v>
      </c>
      <c r="B1070" t="s">
        <v>300</v>
      </c>
      <c r="C1070" s="1">
        <v>45946</v>
      </c>
      <c r="D1070" t="s">
        <v>217</v>
      </c>
      <c r="E1070">
        <v>21</v>
      </c>
      <c r="F1070" s="18">
        <v>150</v>
      </c>
      <c r="H1070" t="s">
        <v>1409</v>
      </c>
      <c r="I1070" t="s">
        <v>1410</v>
      </c>
      <c r="J1070" s="21">
        <f>Table1[[#This Row],[interactions]]/Table1[[#This Row],[Attendance]]</f>
        <v>0.14000000000000001</v>
      </c>
    </row>
    <row r="1071" spans="1:10" x14ac:dyDescent="0.2">
      <c r="A1071" t="s">
        <v>23</v>
      </c>
      <c r="B1071" t="s">
        <v>1725</v>
      </c>
      <c r="C1071" s="1">
        <v>45042</v>
      </c>
      <c r="D1071" t="s">
        <v>23</v>
      </c>
      <c r="E1071">
        <v>35</v>
      </c>
      <c r="F1071" s="18">
        <v>250</v>
      </c>
      <c r="G1071" t="s">
        <v>1728</v>
      </c>
      <c r="H1071" t="s">
        <v>452</v>
      </c>
      <c r="I1071" t="s">
        <v>631</v>
      </c>
      <c r="J1071" s="21">
        <f>Table1[[#This Row],[interactions]]/Table1[[#This Row],[Attendance]]</f>
        <v>0.14000000000000001</v>
      </c>
    </row>
    <row r="1072" spans="1:10" x14ac:dyDescent="0.2">
      <c r="A1072" t="s">
        <v>11</v>
      </c>
      <c r="B1072" t="s">
        <v>670</v>
      </c>
      <c r="C1072" s="1">
        <v>45617</v>
      </c>
      <c r="D1072" t="s">
        <v>366</v>
      </c>
      <c r="E1072">
        <v>6</v>
      </c>
      <c r="F1072" s="18">
        <v>45</v>
      </c>
      <c r="G1072" t="s">
        <v>669</v>
      </c>
      <c r="H1072" t="s">
        <v>621</v>
      </c>
      <c r="I1072" t="s">
        <v>642</v>
      </c>
      <c r="J1072" s="21">
        <f>Table1[[#This Row],[interactions]]/Table1[[#This Row],[Attendance]]</f>
        <v>0.13333333333333333</v>
      </c>
    </row>
    <row r="1073" spans="1:10" x14ac:dyDescent="0.2">
      <c r="A1073" t="s">
        <v>11</v>
      </c>
      <c r="B1073" t="s">
        <v>1073</v>
      </c>
      <c r="C1073" s="1">
        <v>45463</v>
      </c>
      <c r="D1073" t="s">
        <v>217</v>
      </c>
      <c r="E1073">
        <v>8</v>
      </c>
      <c r="F1073" s="18">
        <v>60</v>
      </c>
      <c r="G1073" t="s">
        <v>1072</v>
      </c>
      <c r="H1073" t="s">
        <v>608</v>
      </c>
      <c r="J1073" s="21">
        <f>Table1[[#This Row],[interactions]]/Table1[[#This Row],[Attendance]]</f>
        <v>0.13333333333333333</v>
      </c>
    </row>
    <row r="1074" spans="1:10" x14ac:dyDescent="0.2">
      <c r="A1074" t="s">
        <v>11</v>
      </c>
      <c r="B1074" t="s">
        <v>1521</v>
      </c>
      <c r="C1074" s="1">
        <v>45868</v>
      </c>
      <c r="D1074" t="s">
        <v>366</v>
      </c>
      <c r="E1074">
        <v>10</v>
      </c>
      <c r="F1074" s="18">
        <v>75</v>
      </c>
      <c r="H1074" t="s">
        <v>621</v>
      </c>
      <c r="I1074" t="s">
        <v>802</v>
      </c>
      <c r="J1074" s="21">
        <f>Table1[[#This Row],[interactions]]/Table1[[#This Row],[Attendance]]</f>
        <v>0.13333333333333333</v>
      </c>
    </row>
    <row r="1075" spans="1:10" x14ac:dyDescent="0.2">
      <c r="A1075" t="s">
        <v>11</v>
      </c>
      <c r="B1075" t="s">
        <v>724</v>
      </c>
      <c r="C1075" s="1">
        <v>45771</v>
      </c>
      <c r="D1075" t="s">
        <v>366</v>
      </c>
      <c r="E1075">
        <v>10</v>
      </c>
      <c r="F1075" s="18">
        <v>75</v>
      </c>
      <c r="H1075" t="s">
        <v>621</v>
      </c>
      <c r="I1075" t="s">
        <v>642</v>
      </c>
      <c r="J1075" s="21">
        <f>Table1[[#This Row],[interactions]]/Table1[[#This Row],[Attendance]]</f>
        <v>0.13333333333333333</v>
      </c>
    </row>
    <row r="1076" spans="1:10" x14ac:dyDescent="0.2">
      <c r="A1076" t="s">
        <v>15</v>
      </c>
      <c r="B1076" t="s">
        <v>1658</v>
      </c>
      <c r="C1076" s="1">
        <v>45672</v>
      </c>
      <c r="D1076" t="s">
        <v>366</v>
      </c>
      <c r="E1076">
        <v>8</v>
      </c>
      <c r="F1076" s="18">
        <v>60</v>
      </c>
      <c r="G1076" t="s">
        <v>1657</v>
      </c>
      <c r="H1076" t="s">
        <v>621</v>
      </c>
      <c r="I1076" t="s">
        <v>802</v>
      </c>
      <c r="J1076" s="21">
        <f>Table1[[#This Row],[interactions]]/Table1[[#This Row],[Attendance]]</f>
        <v>0.13333333333333333</v>
      </c>
    </row>
    <row r="1077" spans="1:10" x14ac:dyDescent="0.2">
      <c r="A1077" t="s">
        <v>15</v>
      </c>
      <c r="B1077" t="s">
        <v>920</v>
      </c>
      <c r="C1077" s="1">
        <v>45526</v>
      </c>
      <c r="D1077" t="s">
        <v>217</v>
      </c>
      <c r="E1077">
        <v>10</v>
      </c>
      <c r="F1077" s="18">
        <v>75</v>
      </c>
      <c r="G1077" t="s">
        <v>919</v>
      </c>
      <c r="H1077" t="s">
        <v>608</v>
      </c>
      <c r="I1077" t="s">
        <v>660</v>
      </c>
      <c r="J1077" s="21">
        <f>Table1[[#This Row],[interactions]]/Table1[[#This Row],[Attendance]]</f>
        <v>0.13333333333333333</v>
      </c>
    </row>
    <row r="1078" spans="1:10" x14ac:dyDescent="0.2">
      <c r="A1078" t="s">
        <v>11</v>
      </c>
      <c r="B1078" t="s">
        <v>755</v>
      </c>
      <c r="C1078" s="1">
        <v>45575</v>
      </c>
      <c r="D1078" t="s">
        <v>217</v>
      </c>
      <c r="E1078">
        <v>10</v>
      </c>
      <c r="F1078" s="18">
        <v>80</v>
      </c>
      <c r="I1078" t="s">
        <v>735</v>
      </c>
      <c r="J1078" s="21">
        <f>Table1[[#This Row],[interactions]]/Table1[[#This Row],[Attendance]]</f>
        <v>0.125</v>
      </c>
    </row>
    <row r="1079" spans="1:10" x14ac:dyDescent="0.2">
      <c r="A1079" t="s">
        <v>11</v>
      </c>
      <c r="B1079" t="s">
        <v>916</v>
      </c>
      <c r="C1079" s="1">
        <v>45530</v>
      </c>
      <c r="D1079" t="s">
        <v>217</v>
      </c>
      <c r="E1079">
        <v>10</v>
      </c>
      <c r="F1079" s="18">
        <v>80</v>
      </c>
      <c r="G1079" t="s">
        <v>915</v>
      </c>
      <c r="H1079" t="s">
        <v>797</v>
      </c>
      <c r="I1079" t="s">
        <v>607</v>
      </c>
      <c r="J1079" s="21">
        <f>Table1[[#This Row],[interactions]]/Table1[[#This Row],[Attendance]]</f>
        <v>0.125</v>
      </c>
    </row>
    <row r="1080" spans="1:10" x14ac:dyDescent="0.2">
      <c r="A1080" t="s">
        <v>11</v>
      </c>
      <c r="B1080" t="s">
        <v>1507</v>
      </c>
      <c r="C1080" s="1">
        <v>45881</v>
      </c>
      <c r="D1080" t="s">
        <v>217</v>
      </c>
      <c r="E1080">
        <v>25</v>
      </c>
      <c r="F1080" s="18">
        <v>200</v>
      </c>
      <c r="H1080" t="s">
        <v>608</v>
      </c>
      <c r="I1080" t="s">
        <v>617</v>
      </c>
      <c r="J1080" s="21">
        <f>Table1[[#This Row],[interactions]]/Table1[[#This Row],[Attendance]]</f>
        <v>0.125</v>
      </c>
    </row>
    <row r="1081" spans="1:10" x14ac:dyDescent="0.2">
      <c r="A1081" t="s">
        <v>11</v>
      </c>
      <c r="B1081" t="s">
        <v>652</v>
      </c>
      <c r="C1081" s="1">
        <v>45630</v>
      </c>
      <c r="D1081" t="s">
        <v>366</v>
      </c>
      <c r="E1081">
        <v>25</v>
      </c>
      <c r="F1081" s="18">
        <v>200</v>
      </c>
      <c r="H1081" t="s">
        <v>612</v>
      </c>
      <c r="I1081" t="s">
        <v>639</v>
      </c>
      <c r="J1081" s="21">
        <f>Table1[[#This Row],[interactions]]/Table1[[#This Row],[Attendance]]</f>
        <v>0.125</v>
      </c>
    </row>
    <row r="1082" spans="1:10" x14ac:dyDescent="0.2">
      <c r="A1082" t="s">
        <v>11</v>
      </c>
      <c r="B1082" t="s">
        <v>740</v>
      </c>
      <c r="C1082" s="1">
        <v>45582</v>
      </c>
      <c r="D1082" t="s">
        <v>366</v>
      </c>
      <c r="E1082">
        <v>25</v>
      </c>
      <c r="F1082" s="18">
        <v>200</v>
      </c>
      <c r="H1082" t="s">
        <v>612</v>
      </c>
      <c r="I1082" t="s">
        <v>614</v>
      </c>
      <c r="J1082" s="21">
        <f>Table1[[#This Row],[interactions]]/Table1[[#This Row],[Attendance]]</f>
        <v>0.125</v>
      </c>
    </row>
    <row r="1083" spans="1:10" x14ac:dyDescent="0.2">
      <c r="A1083" t="s">
        <v>11</v>
      </c>
      <c r="B1083" t="s">
        <v>300</v>
      </c>
      <c r="C1083" s="1">
        <v>45554</v>
      </c>
      <c r="D1083" t="s">
        <v>366</v>
      </c>
      <c r="E1083">
        <v>25</v>
      </c>
      <c r="F1083" s="18">
        <v>200</v>
      </c>
      <c r="H1083" t="s">
        <v>612</v>
      </c>
      <c r="I1083" t="s">
        <v>614</v>
      </c>
      <c r="J1083" s="21">
        <f>Table1[[#This Row],[interactions]]/Table1[[#This Row],[Attendance]]</f>
        <v>0.125</v>
      </c>
    </row>
    <row r="1084" spans="1:10" x14ac:dyDescent="0.2">
      <c r="A1084" t="s">
        <v>782</v>
      </c>
      <c r="B1084" t="s">
        <v>708</v>
      </c>
      <c r="C1084" s="1">
        <v>45394</v>
      </c>
      <c r="D1084" t="s">
        <v>366</v>
      </c>
      <c r="E1084">
        <v>5</v>
      </c>
      <c r="F1084" s="18">
        <v>40</v>
      </c>
      <c r="G1084" t="s">
        <v>1238</v>
      </c>
      <c r="H1084" t="s">
        <v>621</v>
      </c>
      <c r="J1084" s="21">
        <f>Table1[[#This Row],[interactions]]/Table1[[#This Row],[Attendance]]</f>
        <v>0.125</v>
      </c>
    </row>
    <row r="1085" spans="1:10" x14ac:dyDescent="0.2">
      <c r="A1085" t="s">
        <v>782</v>
      </c>
      <c r="B1085" t="s">
        <v>1188</v>
      </c>
      <c r="C1085" s="1">
        <v>45415</v>
      </c>
      <c r="D1085" t="s">
        <v>217</v>
      </c>
      <c r="E1085">
        <v>10</v>
      </c>
      <c r="F1085" s="18">
        <v>80</v>
      </c>
      <c r="G1085" t="s">
        <v>1187</v>
      </c>
      <c r="H1085" t="s">
        <v>1139</v>
      </c>
      <c r="J1085" s="21">
        <f>Table1[[#This Row],[interactions]]/Table1[[#This Row],[Attendance]]</f>
        <v>0.125</v>
      </c>
    </row>
    <row r="1086" spans="1:10" x14ac:dyDescent="0.2">
      <c r="A1086" t="s">
        <v>782</v>
      </c>
      <c r="B1086" t="s">
        <v>1241</v>
      </c>
      <c r="C1086" s="1">
        <v>45393</v>
      </c>
      <c r="D1086" t="s">
        <v>217</v>
      </c>
      <c r="E1086">
        <v>15</v>
      </c>
      <c r="F1086" s="18">
        <v>120</v>
      </c>
      <c r="G1086" t="s">
        <v>1240</v>
      </c>
      <c r="H1086" t="s">
        <v>1139</v>
      </c>
      <c r="J1086" s="21">
        <f>Table1[[#This Row],[interactions]]/Table1[[#This Row],[Attendance]]</f>
        <v>0.125</v>
      </c>
    </row>
    <row r="1087" spans="1:10" x14ac:dyDescent="0.2">
      <c r="A1087" t="s">
        <v>15</v>
      </c>
      <c r="B1087" t="s">
        <v>56</v>
      </c>
      <c r="C1087" s="1">
        <v>44495</v>
      </c>
      <c r="D1087" t="s">
        <v>54</v>
      </c>
      <c r="E1087">
        <v>10</v>
      </c>
      <c r="F1087" s="18">
        <v>80</v>
      </c>
      <c r="G1087" t="s">
        <v>57</v>
      </c>
      <c r="H1087" t="s">
        <v>10</v>
      </c>
      <c r="I1087" t="s">
        <v>631</v>
      </c>
      <c r="J1087" s="21">
        <f>Table1[[#This Row],[interactions]]/Table1[[#This Row],[Attendance]]</f>
        <v>0.125</v>
      </c>
    </row>
    <row r="1088" spans="1:10" x14ac:dyDescent="0.2">
      <c r="A1088" t="s">
        <v>721</v>
      </c>
      <c r="B1088" t="s">
        <v>1597</v>
      </c>
      <c r="C1088" s="1">
        <v>45737</v>
      </c>
      <c r="D1088" t="s">
        <v>366</v>
      </c>
      <c r="E1088">
        <v>6</v>
      </c>
      <c r="F1088" s="18">
        <v>50</v>
      </c>
      <c r="H1088" t="s">
        <v>621</v>
      </c>
      <c r="I1088" t="s">
        <v>733</v>
      </c>
      <c r="J1088" s="21">
        <f>Table1[[#This Row],[interactions]]/Table1[[#This Row],[Attendance]]</f>
        <v>0.12</v>
      </c>
    </row>
    <row r="1089" spans="1:10" x14ac:dyDescent="0.2">
      <c r="A1089" t="s">
        <v>11</v>
      </c>
      <c r="B1089" t="s">
        <v>978</v>
      </c>
      <c r="C1089" s="1">
        <v>45506</v>
      </c>
      <c r="D1089" t="s">
        <v>217</v>
      </c>
      <c r="E1089">
        <v>6</v>
      </c>
      <c r="F1089" s="18">
        <v>50</v>
      </c>
      <c r="G1089" t="s">
        <v>977</v>
      </c>
      <c r="H1089" t="s">
        <v>797</v>
      </c>
      <c r="I1089" t="s">
        <v>779</v>
      </c>
      <c r="J1089" s="21">
        <f>Table1[[#This Row],[interactions]]/Table1[[#This Row],[Attendance]]</f>
        <v>0.12</v>
      </c>
    </row>
    <row r="1090" spans="1:10" x14ac:dyDescent="0.2">
      <c r="A1090" t="s">
        <v>11</v>
      </c>
      <c r="B1090" t="s">
        <v>236</v>
      </c>
      <c r="C1090" s="1">
        <v>45272</v>
      </c>
      <c r="D1090" t="s">
        <v>217</v>
      </c>
      <c r="E1090">
        <v>12</v>
      </c>
      <c r="F1090" s="18">
        <v>100</v>
      </c>
      <c r="G1090" t="s">
        <v>235</v>
      </c>
      <c r="H1090" t="s">
        <v>215</v>
      </c>
      <c r="I1090" t="s">
        <v>631</v>
      </c>
      <c r="J1090" s="21">
        <f>Table1[[#This Row],[interactions]]/Table1[[#This Row],[Attendance]]</f>
        <v>0.12</v>
      </c>
    </row>
    <row r="1091" spans="1:10" x14ac:dyDescent="0.2">
      <c r="A1091" t="s">
        <v>11</v>
      </c>
      <c r="B1091" t="s">
        <v>1399</v>
      </c>
      <c r="C1091" s="1">
        <v>45968</v>
      </c>
      <c r="D1091" t="s">
        <v>366</v>
      </c>
      <c r="E1091">
        <v>15</v>
      </c>
      <c r="F1091" s="18">
        <v>125</v>
      </c>
      <c r="H1091" t="s">
        <v>1395</v>
      </c>
      <c r="I1091" t="s">
        <v>779</v>
      </c>
      <c r="J1091" s="21">
        <f>Table1[[#This Row],[interactions]]/Table1[[#This Row],[Attendance]]</f>
        <v>0.12</v>
      </c>
    </row>
    <row r="1092" spans="1:10" x14ac:dyDescent="0.2">
      <c r="A1092" t="s">
        <v>15</v>
      </c>
      <c r="B1092" t="s">
        <v>599</v>
      </c>
      <c r="C1092" s="1">
        <v>45589</v>
      </c>
      <c r="D1092" t="s">
        <v>366</v>
      </c>
      <c r="E1092">
        <v>12</v>
      </c>
      <c r="F1092" s="18">
        <v>100</v>
      </c>
      <c r="G1092" t="s">
        <v>598</v>
      </c>
      <c r="H1092" t="s">
        <v>597</v>
      </c>
      <c r="I1092" t="s">
        <v>600</v>
      </c>
      <c r="J1092" s="21">
        <f>Table1[[#This Row],[interactions]]/Table1[[#This Row],[Attendance]]</f>
        <v>0.12</v>
      </c>
    </row>
    <row r="1093" spans="1:10" x14ac:dyDescent="0.2">
      <c r="A1093" t="s">
        <v>1381</v>
      </c>
      <c r="B1093" t="s">
        <v>1298</v>
      </c>
      <c r="C1093" s="1">
        <v>45366</v>
      </c>
      <c r="D1093" t="s">
        <v>217</v>
      </c>
      <c r="E1093">
        <v>12</v>
      </c>
      <c r="F1093" s="18">
        <v>100</v>
      </c>
      <c r="G1093" t="s">
        <v>1287</v>
      </c>
      <c r="H1093" t="s">
        <v>1208</v>
      </c>
      <c r="J1093" s="21">
        <f>Table1[[#This Row],[interactions]]/Table1[[#This Row],[Attendance]]</f>
        <v>0.12</v>
      </c>
    </row>
    <row r="1094" spans="1:10" x14ac:dyDescent="0.2">
      <c r="A1094" t="s">
        <v>11</v>
      </c>
      <c r="B1094" t="s">
        <v>791</v>
      </c>
      <c r="C1094" s="1">
        <v>45567</v>
      </c>
      <c r="D1094" t="s">
        <v>366</v>
      </c>
      <c r="E1094">
        <v>20</v>
      </c>
      <c r="F1094" s="18">
        <v>175</v>
      </c>
      <c r="H1094" t="s">
        <v>612</v>
      </c>
      <c r="I1094" t="s">
        <v>639</v>
      </c>
      <c r="J1094" s="21">
        <f>Table1[[#This Row],[interactions]]/Table1[[#This Row],[Attendance]]</f>
        <v>0.11428571428571428</v>
      </c>
    </row>
    <row r="1095" spans="1:10" x14ac:dyDescent="0.2">
      <c r="A1095" t="s">
        <v>94</v>
      </c>
      <c r="B1095" t="s">
        <v>1071</v>
      </c>
      <c r="C1095" s="1">
        <v>45463</v>
      </c>
      <c r="D1095" t="s">
        <v>115</v>
      </c>
      <c r="E1095">
        <v>100</v>
      </c>
      <c r="F1095" s="18">
        <v>900</v>
      </c>
      <c r="G1095" t="s">
        <v>1070</v>
      </c>
      <c r="H1095" t="s">
        <v>1069</v>
      </c>
      <c r="J1095" s="21">
        <f>Table1[[#This Row],[interactions]]/Table1[[#This Row],[Attendance]]</f>
        <v>0.1111111111111111</v>
      </c>
    </row>
    <row r="1096" spans="1:10" x14ac:dyDescent="0.2">
      <c r="A1096" t="s">
        <v>11</v>
      </c>
      <c r="B1096" t="s">
        <v>1573</v>
      </c>
      <c r="C1096" s="1">
        <v>45785</v>
      </c>
      <c r="D1096" t="s">
        <v>217</v>
      </c>
      <c r="E1096">
        <v>5</v>
      </c>
      <c r="F1096" s="18">
        <v>45</v>
      </c>
      <c r="H1096" t="s">
        <v>608</v>
      </c>
      <c r="I1096" t="s">
        <v>679</v>
      </c>
      <c r="J1096" s="21">
        <f>Table1[[#This Row],[interactions]]/Table1[[#This Row],[Attendance]]</f>
        <v>0.1111111111111111</v>
      </c>
    </row>
    <row r="1097" spans="1:10" x14ac:dyDescent="0.2">
      <c r="A1097" t="s">
        <v>640</v>
      </c>
      <c r="B1097" t="s">
        <v>1553</v>
      </c>
      <c r="C1097" s="1">
        <v>45820</v>
      </c>
      <c r="D1097" t="s">
        <v>115</v>
      </c>
      <c r="E1097">
        <v>100</v>
      </c>
      <c r="F1097" s="18">
        <v>900</v>
      </c>
      <c r="H1097" t="s">
        <v>941</v>
      </c>
      <c r="I1097" t="s">
        <v>704</v>
      </c>
      <c r="J1097" s="21">
        <f>Table1[[#This Row],[interactions]]/Table1[[#This Row],[Attendance]]</f>
        <v>0.1111111111111111</v>
      </c>
    </row>
    <row r="1098" spans="1:10" x14ac:dyDescent="0.2">
      <c r="A1098" t="s">
        <v>11</v>
      </c>
      <c r="B1098" t="s">
        <v>1574</v>
      </c>
      <c r="C1098" s="1">
        <v>45779</v>
      </c>
      <c r="D1098" t="s">
        <v>366</v>
      </c>
      <c r="E1098">
        <v>8</v>
      </c>
      <c r="F1098" s="18">
        <v>75</v>
      </c>
      <c r="H1098" t="s">
        <v>621</v>
      </c>
      <c r="I1098" t="s">
        <v>642</v>
      </c>
      <c r="J1098" s="21">
        <f>Table1[[#This Row],[interactions]]/Table1[[#This Row],[Attendance]]</f>
        <v>0.10666666666666667</v>
      </c>
    </row>
    <row r="1099" spans="1:10" x14ac:dyDescent="0.2">
      <c r="A1099" t="s">
        <v>11</v>
      </c>
      <c r="B1099" t="s">
        <v>1438</v>
      </c>
      <c r="C1099" s="1">
        <v>45931</v>
      </c>
      <c r="D1099" t="s">
        <v>366</v>
      </c>
      <c r="E1099">
        <v>18</v>
      </c>
      <c r="F1099" s="18">
        <v>175</v>
      </c>
      <c r="H1099" t="s">
        <v>1409</v>
      </c>
      <c r="I1099" t="s">
        <v>639</v>
      </c>
      <c r="J1099" s="21">
        <f>Table1[[#This Row],[interactions]]/Table1[[#This Row],[Attendance]]</f>
        <v>0.10285714285714286</v>
      </c>
    </row>
    <row r="1100" spans="1:10" x14ac:dyDescent="0.2">
      <c r="A1100" t="s">
        <v>11</v>
      </c>
      <c r="B1100" t="s">
        <v>1519</v>
      </c>
      <c r="C1100" s="1">
        <v>45875</v>
      </c>
      <c r="D1100" t="s">
        <v>217</v>
      </c>
      <c r="E1100">
        <v>18</v>
      </c>
      <c r="F1100" s="18">
        <v>175</v>
      </c>
      <c r="H1100" t="s">
        <v>1409</v>
      </c>
      <c r="I1100" t="s">
        <v>639</v>
      </c>
      <c r="J1100" s="21">
        <f>Table1[[#This Row],[interactions]]/Table1[[#This Row],[Attendance]]</f>
        <v>0.10285714285714286</v>
      </c>
    </row>
    <row r="1101" spans="1:10" x14ac:dyDescent="0.2">
      <c r="A1101" t="s">
        <v>94</v>
      </c>
      <c r="B1101" t="s">
        <v>1165</v>
      </c>
      <c r="C1101" s="1">
        <v>45430</v>
      </c>
      <c r="D1101" t="s">
        <v>115</v>
      </c>
      <c r="E1101">
        <v>2500</v>
      </c>
      <c r="F1101" s="18">
        <v>25000</v>
      </c>
      <c r="G1101" t="s">
        <v>1164</v>
      </c>
      <c r="H1101" t="s">
        <v>685</v>
      </c>
      <c r="J1101" s="21">
        <f>Table1[[#This Row],[interactions]]/Table1[[#This Row],[Attendance]]</f>
        <v>0.1</v>
      </c>
    </row>
    <row r="1102" spans="1:10" x14ac:dyDescent="0.2">
      <c r="A1102" t="s">
        <v>11</v>
      </c>
      <c r="B1102" t="s">
        <v>814</v>
      </c>
      <c r="C1102" s="1">
        <v>45560</v>
      </c>
      <c r="D1102" t="s">
        <v>366</v>
      </c>
      <c r="E1102">
        <v>6</v>
      </c>
      <c r="F1102" s="18">
        <v>60</v>
      </c>
      <c r="G1102" t="s">
        <v>813</v>
      </c>
      <c r="H1102" t="s">
        <v>621</v>
      </c>
      <c r="I1102" t="s">
        <v>623</v>
      </c>
      <c r="J1102" s="21">
        <f>Table1[[#This Row],[interactions]]/Table1[[#This Row],[Attendance]]</f>
        <v>0.1</v>
      </c>
    </row>
    <row r="1103" spans="1:10" x14ac:dyDescent="0.2">
      <c r="A1103" t="s">
        <v>11</v>
      </c>
      <c r="B1103" t="s">
        <v>228</v>
      </c>
      <c r="C1103" s="1">
        <v>45274</v>
      </c>
      <c r="D1103" t="s">
        <v>217</v>
      </c>
      <c r="E1103">
        <v>6</v>
      </c>
      <c r="F1103" s="18">
        <v>60</v>
      </c>
      <c r="G1103" t="s">
        <v>227</v>
      </c>
      <c r="H1103" t="s">
        <v>215</v>
      </c>
      <c r="I1103" t="s">
        <v>631</v>
      </c>
      <c r="J1103" s="21">
        <f>Table1[[#This Row],[interactions]]/Table1[[#This Row],[Attendance]]</f>
        <v>0.1</v>
      </c>
    </row>
    <row r="1104" spans="1:10" x14ac:dyDescent="0.2">
      <c r="A1104" t="s">
        <v>11</v>
      </c>
      <c r="B1104" t="s">
        <v>743</v>
      </c>
      <c r="C1104" s="1">
        <v>45581</v>
      </c>
      <c r="D1104" t="s">
        <v>217</v>
      </c>
      <c r="E1104">
        <v>8</v>
      </c>
      <c r="F1104" s="18">
        <v>80</v>
      </c>
      <c r="I1104" t="s">
        <v>590</v>
      </c>
      <c r="J1104" s="21">
        <f>Table1[[#This Row],[interactions]]/Table1[[#This Row],[Attendance]]</f>
        <v>0.1</v>
      </c>
    </row>
    <row r="1105" spans="1:10" x14ac:dyDescent="0.2">
      <c r="A1105" t="s">
        <v>11</v>
      </c>
      <c r="B1105" t="s">
        <v>911</v>
      </c>
      <c r="C1105" s="1">
        <v>45531</v>
      </c>
      <c r="D1105" t="s">
        <v>217</v>
      </c>
      <c r="E1105">
        <v>8</v>
      </c>
      <c r="F1105" s="18">
        <v>80</v>
      </c>
      <c r="G1105" t="s">
        <v>910</v>
      </c>
      <c r="H1105" t="s">
        <v>797</v>
      </c>
      <c r="I1105" t="s">
        <v>735</v>
      </c>
      <c r="J1105" s="21">
        <f>Table1[[#This Row],[interactions]]/Table1[[#This Row],[Attendance]]</f>
        <v>0.1</v>
      </c>
    </row>
    <row r="1106" spans="1:10" x14ac:dyDescent="0.2">
      <c r="A1106" t="s">
        <v>11</v>
      </c>
      <c r="B1106" t="s">
        <v>472</v>
      </c>
      <c r="C1106" s="1">
        <v>46125</v>
      </c>
      <c r="D1106" t="s">
        <v>366</v>
      </c>
      <c r="E1106">
        <v>10</v>
      </c>
      <c r="F1106" s="18">
        <v>100</v>
      </c>
      <c r="G1106" t="s">
        <v>492</v>
      </c>
      <c r="H1106" t="s">
        <v>215</v>
      </c>
      <c r="I1106" t="s">
        <v>631</v>
      </c>
      <c r="J1106" s="21">
        <f>Table1[[#This Row],[interactions]]/Table1[[#This Row],[Attendance]]</f>
        <v>0.1</v>
      </c>
    </row>
    <row r="1107" spans="1:10" x14ac:dyDescent="0.2">
      <c r="A1107" t="s">
        <v>11</v>
      </c>
      <c r="B1107" t="s">
        <v>1493</v>
      </c>
      <c r="C1107" s="1">
        <v>45897</v>
      </c>
      <c r="D1107" t="s">
        <v>217</v>
      </c>
      <c r="E1107">
        <v>10</v>
      </c>
      <c r="F1107" s="18">
        <v>100</v>
      </c>
      <c r="H1107" t="s">
        <v>1492</v>
      </c>
      <c r="I1107" t="s">
        <v>1494</v>
      </c>
      <c r="J1107" s="21">
        <f>Table1[[#This Row],[interactions]]/Table1[[#This Row],[Attendance]]</f>
        <v>0.1</v>
      </c>
    </row>
    <row r="1108" spans="1:10" x14ac:dyDescent="0.2">
      <c r="A1108" t="s">
        <v>11</v>
      </c>
      <c r="B1108" t="s">
        <v>302</v>
      </c>
      <c r="C1108" s="1">
        <v>45302</v>
      </c>
      <c r="D1108" t="s">
        <v>366</v>
      </c>
      <c r="E1108">
        <v>10</v>
      </c>
      <c r="F1108" s="18">
        <v>100</v>
      </c>
      <c r="G1108" t="s">
        <v>1366</v>
      </c>
      <c r="H1108" t="s">
        <v>215</v>
      </c>
      <c r="J1108" s="21">
        <f>Table1[[#This Row],[interactions]]/Table1[[#This Row],[Attendance]]</f>
        <v>0.1</v>
      </c>
    </row>
    <row r="1109" spans="1:10" x14ac:dyDescent="0.2">
      <c r="A1109" t="s">
        <v>11</v>
      </c>
      <c r="B1109" t="s">
        <v>240</v>
      </c>
      <c r="C1109" s="1">
        <v>45267</v>
      </c>
      <c r="D1109" t="s">
        <v>217</v>
      </c>
      <c r="E1109">
        <v>10</v>
      </c>
      <c r="F1109" s="18">
        <v>100</v>
      </c>
      <c r="G1109" t="s">
        <v>239</v>
      </c>
      <c r="H1109" t="s">
        <v>215</v>
      </c>
      <c r="I1109" t="s">
        <v>631</v>
      </c>
      <c r="J1109" s="21">
        <f>Table1[[#This Row],[interactions]]/Table1[[#This Row],[Attendance]]</f>
        <v>0.1</v>
      </c>
    </row>
    <row r="1110" spans="1:10" x14ac:dyDescent="0.2">
      <c r="A1110" t="s">
        <v>11</v>
      </c>
      <c r="B1110" t="s">
        <v>245</v>
      </c>
      <c r="C1110" s="1">
        <v>45266</v>
      </c>
      <c r="D1110" t="s">
        <v>217</v>
      </c>
      <c r="E1110">
        <v>10</v>
      </c>
      <c r="F1110" s="18">
        <v>100</v>
      </c>
      <c r="G1110" t="s">
        <v>244</v>
      </c>
      <c r="H1110" t="s">
        <v>215</v>
      </c>
      <c r="I1110" t="s">
        <v>631</v>
      </c>
      <c r="J1110" s="21">
        <f>Table1[[#This Row],[interactions]]/Table1[[#This Row],[Attendance]]</f>
        <v>0.1</v>
      </c>
    </row>
    <row r="1111" spans="1:10" x14ac:dyDescent="0.2">
      <c r="A1111" t="s">
        <v>11</v>
      </c>
      <c r="B1111" t="s">
        <v>419</v>
      </c>
      <c r="C1111" s="1">
        <v>45120</v>
      </c>
      <c r="D1111" t="s">
        <v>217</v>
      </c>
      <c r="E1111">
        <v>10</v>
      </c>
      <c r="F1111" s="18">
        <v>100</v>
      </c>
      <c r="G1111" t="s">
        <v>418</v>
      </c>
      <c r="H1111" t="s">
        <v>215</v>
      </c>
      <c r="I1111" t="s">
        <v>631</v>
      </c>
      <c r="J1111" s="21">
        <f>Table1[[#This Row],[interactions]]/Table1[[#This Row],[Attendance]]</f>
        <v>0.1</v>
      </c>
    </row>
    <row r="1112" spans="1:10" x14ac:dyDescent="0.2">
      <c r="A1112" t="s">
        <v>11</v>
      </c>
      <c r="B1112" t="s">
        <v>448</v>
      </c>
      <c r="C1112" s="1">
        <v>45085</v>
      </c>
      <c r="D1112" t="s">
        <v>217</v>
      </c>
      <c r="E1112">
        <v>10</v>
      </c>
      <c r="F1112" s="18">
        <v>100</v>
      </c>
      <c r="G1112" t="s">
        <v>447</v>
      </c>
      <c r="H1112" t="s">
        <v>215</v>
      </c>
      <c r="I1112" t="s">
        <v>631</v>
      </c>
      <c r="J1112" s="21">
        <f>Table1[[#This Row],[interactions]]/Table1[[#This Row],[Attendance]]</f>
        <v>0.1</v>
      </c>
    </row>
    <row r="1113" spans="1:10" x14ac:dyDescent="0.2">
      <c r="A1113" t="s">
        <v>11</v>
      </c>
      <c r="B1113" t="s">
        <v>201</v>
      </c>
      <c r="C1113" s="1">
        <v>45056</v>
      </c>
      <c r="D1113" t="s">
        <v>217</v>
      </c>
      <c r="E1113">
        <v>10</v>
      </c>
      <c r="F1113" s="18">
        <v>100</v>
      </c>
      <c r="G1113" t="s">
        <v>473</v>
      </c>
      <c r="H1113" t="s">
        <v>215</v>
      </c>
      <c r="I1113" t="s">
        <v>631</v>
      </c>
      <c r="J1113" s="21">
        <f>Table1[[#This Row],[interactions]]/Table1[[#This Row],[Attendance]]</f>
        <v>0.1</v>
      </c>
    </row>
    <row r="1114" spans="1:10" x14ac:dyDescent="0.2">
      <c r="A1114" t="s">
        <v>11</v>
      </c>
      <c r="B1114" t="s">
        <v>77</v>
      </c>
      <c r="C1114" s="1">
        <v>44538</v>
      </c>
      <c r="D1114" t="s">
        <v>78</v>
      </c>
      <c r="E1114">
        <v>10</v>
      </c>
      <c r="F1114" s="18">
        <v>100</v>
      </c>
      <c r="G1114" t="s">
        <v>79</v>
      </c>
      <c r="H1114" t="s">
        <v>10</v>
      </c>
      <c r="I1114" t="s">
        <v>631</v>
      </c>
      <c r="J1114" s="21">
        <f>Table1[[#This Row],[interactions]]/Table1[[#This Row],[Attendance]]</f>
        <v>0.1</v>
      </c>
    </row>
    <row r="1115" spans="1:10" x14ac:dyDescent="0.2">
      <c r="A1115" t="s">
        <v>11</v>
      </c>
      <c r="B1115" t="s">
        <v>302</v>
      </c>
      <c r="D1115" t="s">
        <v>217</v>
      </c>
      <c r="E1115">
        <v>10</v>
      </c>
      <c r="F1115" s="18">
        <v>100</v>
      </c>
      <c r="G1115" t="s">
        <v>470</v>
      </c>
      <c r="H1115" t="s">
        <v>215</v>
      </c>
      <c r="I1115" t="s">
        <v>631</v>
      </c>
      <c r="J1115" s="21">
        <f>Table1[[#This Row],[interactions]]/Table1[[#This Row],[Attendance]]</f>
        <v>0.1</v>
      </c>
    </row>
    <row r="1116" spans="1:10" x14ac:dyDescent="0.2">
      <c r="A1116" t="s">
        <v>11</v>
      </c>
      <c r="B1116" t="s">
        <v>379</v>
      </c>
      <c r="C1116" s="1">
        <v>45133</v>
      </c>
      <c r="D1116" t="s">
        <v>217</v>
      </c>
      <c r="E1116">
        <v>15</v>
      </c>
      <c r="F1116" s="18">
        <v>150</v>
      </c>
      <c r="G1116" t="s">
        <v>410</v>
      </c>
      <c r="H1116" t="s">
        <v>215</v>
      </c>
      <c r="I1116" t="s">
        <v>631</v>
      </c>
      <c r="J1116" s="21">
        <f>Table1[[#This Row],[interactions]]/Table1[[#This Row],[Attendance]]</f>
        <v>0.1</v>
      </c>
    </row>
    <row r="1117" spans="1:10" x14ac:dyDescent="0.2">
      <c r="A1117" t="s">
        <v>11</v>
      </c>
      <c r="B1117" t="s">
        <v>300</v>
      </c>
      <c r="C1117" s="1">
        <v>45463</v>
      </c>
      <c r="D1117" t="s">
        <v>366</v>
      </c>
      <c r="E1117">
        <v>20</v>
      </c>
      <c r="F1117" s="18">
        <v>200</v>
      </c>
      <c r="G1117" t="s">
        <v>1074</v>
      </c>
      <c r="H1117" t="s">
        <v>612</v>
      </c>
      <c r="J1117" s="21">
        <f>Table1[[#This Row],[interactions]]/Table1[[#This Row],[Attendance]]</f>
        <v>0.1</v>
      </c>
    </row>
    <row r="1118" spans="1:10" x14ac:dyDescent="0.2">
      <c r="A1118" t="s">
        <v>11</v>
      </c>
      <c r="B1118" t="s">
        <v>1135</v>
      </c>
      <c r="C1118" s="1">
        <v>45448</v>
      </c>
      <c r="D1118" t="s">
        <v>217</v>
      </c>
      <c r="E1118">
        <v>20</v>
      </c>
      <c r="F1118" s="18">
        <v>200</v>
      </c>
      <c r="G1118" t="s">
        <v>1134</v>
      </c>
      <c r="H1118" t="s">
        <v>612</v>
      </c>
      <c r="J1118" s="21">
        <f>Table1[[#This Row],[interactions]]/Table1[[#This Row],[Attendance]]</f>
        <v>0.1</v>
      </c>
    </row>
    <row r="1119" spans="1:10" x14ac:dyDescent="0.2">
      <c r="A1119" t="s">
        <v>11</v>
      </c>
      <c r="B1119" t="s">
        <v>1456</v>
      </c>
      <c r="C1119" s="1">
        <v>45922</v>
      </c>
      <c r="D1119" t="s">
        <v>366</v>
      </c>
      <c r="E1119">
        <v>25</v>
      </c>
      <c r="F1119" s="18">
        <v>250</v>
      </c>
      <c r="G1119" t="s">
        <v>1455</v>
      </c>
      <c r="H1119" t="s">
        <v>621</v>
      </c>
      <c r="I1119" t="s">
        <v>648</v>
      </c>
      <c r="J1119" s="21">
        <f>Table1[[#This Row],[interactions]]/Table1[[#This Row],[Attendance]]</f>
        <v>0.1</v>
      </c>
    </row>
    <row r="1120" spans="1:10" x14ac:dyDescent="0.2">
      <c r="A1120" t="s">
        <v>11</v>
      </c>
      <c r="B1120" t="s">
        <v>300</v>
      </c>
      <c r="C1120" s="1">
        <v>45344</v>
      </c>
      <c r="D1120" t="s">
        <v>366</v>
      </c>
      <c r="E1120">
        <v>25</v>
      </c>
      <c r="F1120" s="18">
        <v>250</v>
      </c>
      <c r="G1120" t="s">
        <v>1325</v>
      </c>
      <c r="H1120" t="s">
        <v>1208</v>
      </c>
      <c r="J1120" s="21">
        <f>Table1[[#This Row],[interactions]]/Table1[[#This Row],[Attendance]]</f>
        <v>0.1</v>
      </c>
    </row>
    <row r="1121" spans="1:10" x14ac:dyDescent="0.2">
      <c r="A1121" t="s">
        <v>15</v>
      </c>
      <c r="B1121" t="s">
        <v>1205</v>
      </c>
      <c r="C1121" s="1">
        <v>45412</v>
      </c>
      <c r="D1121" t="s">
        <v>217</v>
      </c>
      <c r="E1121">
        <v>10</v>
      </c>
      <c r="F1121" s="18">
        <v>100</v>
      </c>
      <c r="G1121" t="s">
        <v>1204</v>
      </c>
      <c r="H1121" t="s">
        <v>1203</v>
      </c>
      <c r="J1121" s="21">
        <f>Table1[[#This Row],[interactions]]/Table1[[#This Row],[Attendance]]</f>
        <v>0.1</v>
      </c>
    </row>
    <row r="1122" spans="1:10" x14ac:dyDescent="0.2">
      <c r="A1122" t="s">
        <v>23</v>
      </c>
      <c r="B1122" t="s">
        <v>24</v>
      </c>
      <c r="C1122" s="1">
        <v>45888</v>
      </c>
      <c r="D1122" t="s">
        <v>25</v>
      </c>
      <c r="E1122">
        <v>100</v>
      </c>
      <c r="F1122" s="18">
        <v>1000</v>
      </c>
      <c r="G1122" t="s">
        <v>26</v>
      </c>
      <c r="H1122" t="s">
        <v>22</v>
      </c>
      <c r="I1122" t="s">
        <v>631</v>
      </c>
      <c r="J1122" s="21">
        <f>Table1[[#This Row],[interactions]]/Table1[[#This Row],[Attendance]]</f>
        <v>0.1</v>
      </c>
    </row>
    <row r="1123" spans="1:10" x14ac:dyDescent="0.2">
      <c r="A1123" t="s">
        <v>11</v>
      </c>
      <c r="B1123" t="s">
        <v>962</v>
      </c>
      <c r="C1123" s="1">
        <v>45512</v>
      </c>
      <c r="D1123" t="s">
        <v>217</v>
      </c>
      <c r="E1123">
        <v>12</v>
      </c>
      <c r="F1123" s="18">
        <v>125</v>
      </c>
      <c r="G1123" t="s">
        <v>961</v>
      </c>
      <c r="H1123" t="s">
        <v>612</v>
      </c>
      <c r="I1123" t="s">
        <v>645</v>
      </c>
      <c r="J1123" s="21">
        <f>Table1[[#This Row],[interactions]]/Table1[[#This Row],[Attendance]]</f>
        <v>9.6000000000000002E-2</v>
      </c>
    </row>
    <row r="1124" spans="1:10" x14ac:dyDescent="0.2">
      <c r="A1124" t="s">
        <v>11</v>
      </c>
      <c r="B1124" t="s">
        <v>1488</v>
      </c>
      <c r="C1124" s="1">
        <v>45903</v>
      </c>
      <c r="D1124" t="s">
        <v>217</v>
      </c>
      <c r="E1124">
        <v>18</v>
      </c>
      <c r="F1124" s="18">
        <v>200</v>
      </c>
      <c r="H1124" t="s">
        <v>1409</v>
      </c>
      <c r="I1124" t="s">
        <v>1489</v>
      </c>
      <c r="J1124" s="21">
        <f>Table1[[#This Row],[interactions]]/Table1[[#This Row],[Attendance]]</f>
        <v>0.09</v>
      </c>
    </row>
    <row r="1125" spans="1:10" x14ac:dyDescent="0.2">
      <c r="A1125" t="s">
        <v>11</v>
      </c>
      <c r="B1125" t="s">
        <v>1519</v>
      </c>
      <c r="C1125" s="1">
        <v>45749</v>
      </c>
      <c r="D1125" t="s">
        <v>217</v>
      </c>
      <c r="E1125">
        <v>20</v>
      </c>
      <c r="F1125" s="18">
        <v>225</v>
      </c>
      <c r="H1125" t="s">
        <v>1409</v>
      </c>
      <c r="I1125" t="s">
        <v>639</v>
      </c>
      <c r="J1125" s="21">
        <f>Table1[[#This Row],[interactions]]/Table1[[#This Row],[Attendance]]</f>
        <v>8.8888888888888892E-2</v>
      </c>
    </row>
    <row r="1126" spans="1:10" x14ac:dyDescent="0.2">
      <c r="A1126" t="s">
        <v>11</v>
      </c>
      <c r="B1126" t="s">
        <v>203</v>
      </c>
      <c r="C1126" s="1">
        <v>45512</v>
      </c>
      <c r="D1126" t="s">
        <v>217</v>
      </c>
      <c r="E1126">
        <v>5</v>
      </c>
      <c r="F1126" s="18">
        <v>60</v>
      </c>
      <c r="G1126" t="s">
        <v>956</v>
      </c>
      <c r="H1126" t="s">
        <v>797</v>
      </c>
      <c r="I1126" t="s">
        <v>735</v>
      </c>
      <c r="J1126" s="21">
        <f>Table1[[#This Row],[interactions]]/Table1[[#This Row],[Attendance]]</f>
        <v>8.3333333333333329E-2</v>
      </c>
    </row>
    <row r="1127" spans="1:10" x14ac:dyDescent="0.2">
      <c r="A1127" t="s">
        <v>15</v>
      </c>
      <c r="B1127" t="s">
        <v>338</v>
      </c>
      <c r="C1127" s="1">
        <v>45196</v>
      </c>
      <c r="D1127" t="s">
        <v>217</v>
      </c>
      <c r="E1127">
        <v>25</v>
      </c>
      <c r="F1127" s="18">
        <v>300</v>
      </c>
      <c r="G1127" t="s">
        <v>336</v>
      </c>
      <c r="H1127" t="s">
        <v>22</v>
      </c>
      <c r="I1127" t="s">
        <v>631</v>
      </c>
      <c r="J1127" s="21">
        <f>Table1[[#This Row],[interactions]]/Table1[[#This Row],[Attendance]]</f>
        <v>8.3333333333333329E-2</v>
      </c>
    </row>
    <row r="1128" spans="1:10" x14ac:dyDescent="0.2">
      <c r="A1128" t="s">
        <v>23</v>
      </c>
      <c r="B1128" t="s">
        <v>1634</v>
      </c>
      <c r="C1128" s="1">
        <v>45709</v>
      </c>
      <c r="D1128" t="s">
        <v>217</v>
      </c>
      <c r="E1128">
        <v>5</v>
      </c>
      <c r="F1128" s="18">
        <v>60</v>
      </c>
      <c r="H1128" t="s">
        <v>608</v>
      </c>
      <c r="I1128" t="s">
        <v>631</v>
      </c>
      <c r="J1128" s="21">
        <f>Table1[[#This Row],[interactions]]/Table1[[#This Row],[Attendance]]</f>
        <v>8.3333333333333329E-2</v>
      </c>
    </row>
    <row r="1129" spans="1:10" x14ac:dyDescent="0.2">
      <c r="A1129" t="s">
        <v>11</v>
      </c>
      <c r="B1129" t="s">
        <v>992</v>
      </c>
      <c r="C1129" s="1">
        <v>45504</v>
      </c>
      <c r="D1129" t="s">
        <v>217</v>
      </c>
      <c r="E1129">
        <v>2</v>
      </c>
      <c r="F1129" s="18">
        <v>25</v>
      </c>
      <c r="G1129" t="s">
        <v>991</v>
      </c>
      <c r="H1129" t="s">
        <v>797</v>
      </c>
      <c r="I1129" t="s">
        <v>607</v>
      </c>
      <c r="J1129" s="21">
        <f>Table1[[#This Row],[interactions]]/Table1[[#This Row],[Attendance]]</f>
        <v>0.08</v>
      </c>
    </row>
    <row r="1130" spans="1:10" x14ac:dyDescent="0.2">
      <c r="A1130" t="s">
        <v>11</v>
      </c>
      <c r="B1130" t="s">
        <v>1569</v>
      </c>
      <c r="C1130" s="1">
        <v>45786</v>
      </c>
      <c r="D1130" t="s">
        <v>366</v>
      </c>
      <c r="E1130">
        <v>8</v>
      </c>
      <c r="F1130" s="18">
        <v>100</v>
      </c>
      <c r="H1130" t="s">
        <v>621</v>
      </c>
      <c r="I1130" t="s">
        <v>648</v>
      </c>
      <c r="J1130" s="21">
        <f>Table1[[#This Row],[interactions]]/Table1[[#This Row],[Attendance]]</f>
        <v>0.08</v>
      </c>
    </row>
    <row r="1131" spans="1:10" x14ac:dyDescent="0.2">
      <c r="A1131" t="s">
        <v>11</v>
      </c>
      <c r="B1131" t="s">
        <v>203</v>
      </c>
      <c r="C1131" s="1">
        <v>45393</v>
      </c>
      <c r="D1131" t="s">
        <v>217</v>
      </c>
      <c r="E1131">
        <v>8</v>
      </c>
      <c r="F1131" s="18">
        <v>100</v>
      </c>
      <c r="G1131" t="s">
        <v>1239</v>
      </c>
      <c r="H1131" t="s">
        <v>1093</v>
      </c>
      <c r="J1131" s="21">
        <f>Table1[[#This Row],[interactions]]/Table1[[#This Row],[Attendance]]</f>
        <v>0.08</v>
      </c>
    </row>
    <row r="1132" spans="1:10" x14ac:dyDescent="0.2">
      <c r="A1132" t="s">
        <v>11</v>
      </c>
      <c r="B1132" t="s">
        <v>300</v>
      </c>
      <c r="C1132" s="1">
        <v>45610</v>
      </c>
      <c r="D1132" t="s">
        <v>366</v>
      </c>
      <c r="E1132">
        <v>20</v>
      </c>
      <c r="F1132" s="18">
        <v>250</v>
      </c>
      <c r="G1132" t="s">
        <v>691</v>
      </c>
      <c r="H1132" t="s">
        <v>612</v>
      </c>
      <c r="I1132" t="s">
        <v>614</v>
      </c>
      <c r="J1132" s="21">
        <f>Table1[[#This Row],[interactions]]/Table1[[#This Row],[Attendance]]</f>
        <v>0.08</v>
      </c>
    </row>
    <row r="1133" spans="1:10" x14ac:dyDescent="0.2">
      <c r="A1133" t="s">
        <v>11</v>
      </c>
      <c r="B1133" t="s">
        <v>898</v>
      </c>
      <c r="C1133" s="1">
        <v>45539</v>
      </c>
      <c r="D1133" t="s">
        <v>217</v>
      </c>
      <c r="E1133">
        <v>20</v>
      </c>
      <c r="F1133" s="18">
        <v>250</v>
      </c>
      <c r="H1133" t="s">
        <v>612</v>
      </c>
      <c r="I1133" t="s">
        <v>639</v>
      </c>
      <c r="J1133" s="21">
        <f>Table1[[#This Row],[interactions]]/Table1[[#This Row],[Attendance]]</f>
        <v>0.08</v>
      </c>
    </row>
    <row r="1134" spans="1:10" x14ac:dyDescent="0.2">
      <c r="A1134" t="s">
        <v>11</v>
      </c>
      <c r="B1134" t="s">
        <v>1488</v>
      </c>
      <c r="C1134" s="1">
        <v>45356</v>
      </c>
      <c r="D1134" t="s">
        <v>217</v>
      </c>
      <c r="E1134">
        <v>20</v>
      </c>
      <c r="F1134" s="18">
        <v>250</v>
      </c>
      <c r="H1134" t="s">
        <v>1409</v>
      </c>
      <c r="I1134" t="s">
        <v>639</v>
      </c>
      <c r="J1134" s="21">
        <f>Table1[[#This Row],[interactions]]/Table1[[#This Row],[Attendance]]</f>
        <v>0.08</v>
      </c>
    </row>
    <row r="1135" spans="1:10" x14ac:dyDescent="0.2">
      <c r="A1135" t="s">
        <v>782</v>
      </c>
      <c r="B1135" t="s">
        <v>1169</v>
      </c>
      <c r="C1135" s="1">
        <v>45425</v>
      </c>
      <c r="D1135" t="s">
        <v>366</v>
      </c>
      <c r="E1135">
        <v>6</v>
      </c>
      <c r="F1135" s="18">
        <v>75</v>
      </c>
      <c r="G1135" t="s">
        <v>1168</v>
      </c>
      <c r="H1135" t="s">
        <v>621</v>
      </c>
      <c r="J1135" s="21">
        <f>Table1[[#This Row],[interactions]]/Table1[[#This Row],[Attendance]]</f>
        <v>0.08</v>
      </c>
    </row>
    <row r="1136" spans="1:10" x14ac:dyDescent="0.2">
      <c r="A1136" t="s">
        <v>11</v>
      </c>
      <c r="B1136" t="s">
        <v>203</v>
      </c>
      <c r="C1136" s="1">
        <v>45426</v>
      </c>
      <c r="D1136" t="s">
        <v>217</v>
      </c>
      <c r="E1136">
        <v>6</v>
      </c>
      <c r="F1136" s="18">
        <v>80</v>
      </c>
      <c r="G1136" t="s">
        <v>1167</v>
      </c>
      <c r="H1136" t="s">
        <v>1093</v>
      </c>
      <c r="J1136" s="21">
        <f>Table1[[#This Row],[interactions]]/Table1[[#This Row],[Attendance]]</f>
        <v>7.4999999999999997E-2</v>
      </c>
    </row>
    <row r="1137" spans="1:10" x14ac:dyDescent="0.2">
      <c r="A1137" t="s">
        <v>11</v>
      </c>
      <c r="B1137" t="s">
        <v>707</v>
      </c>
      <c r="C1137" s="1">
        <v>45604</v>
      </c>
      <c r="D1137" t="s">
        <v>366</v>
      </c>
      <c r="E1137">
        <v>8</v>
      </c>
      <c r="F1137" s="18">
        <v>110</v>
      </c>
      <c r="H1137" t="s">
        <v>621</v>
      </c>
      <c r="I1137" t="s">
        <v>663</v>
      </c>
      <c r="J1137" s="21">
        <f>Table1[[#This Row],[interactions]]/Table1[[#This Row],[Attendance]]</f>
        <v>7.2727272727272724E-2</v>
      </c>
    </row>
    <row r="1138" spans="1:10" x14ac:dyDescent="0.2">
      <c r="A1138" t="s">
        <v>11</v>
      </c>
      <c r="B1138" t="s">
        <v>724</v>
      </c>
      <c r="C1138" s="1">
        <v>45589</v>
      </c>
      <c r="D1138" t="s">
        <v>366</v>
      </c>
      <c r="E1138">
        <v>5</v>
      </c>
      <c r="F1138" s="18">
        <v>70</v>
      </c>
      <c r="G1138" t="s">
        <v>723</v>
      </c>
      <c r="H1138" t="s">
        <v>621</v>
      </c>
      <c r="I1138" t="s">
        <v>642</v>
      </c>
      <c r="J1138" s="21">
        <f>Table1[[#This Row],[interactions]]/Table1[[#This Row],[Attendance]]</f>
        <v>7.1428571428571425E-2</v>
      </c>
    </row>
    <row r="1139" spans="1:10" x14ac:dyDescent="0.2">
      <c r="A1139" t="s">
        <v>11</v>
      </c>
      <c r="B1139" t="s">
        <v>302</v>
      </c>
      <c r="C1139" s="1">
        <v>45330</v>
      </c>
      <c r="D1139" t="s">
        <v>366</v>
      </c>
      <c r="E1139">
        <v>7</v>
      </c>
      <c r="F1139" s="18">
        <v>100</v>
      </c>
      <c r="G1139" t="s">
        <v>1342</v>
      </c>
      <c r="H1139" t="s">
        <v>215</v>
      </c>
      <c r="J1139" s="21">
        <f>Table1[[#This Row],[interactions]]/Table1[[#This Row],[Attendance]]</f>
        <v>7.0000000000000007E-2</v>
      </c>
    </row>
    <row r="1140" spans="1:10" x14ac:dyDescent="0.2">
      <c r="A1140" t="s">
        <v>11</v>
      </c>
      <c r="B1140" t="s">
        <v>265</v>
      </c>
      <c r="C1140" s="1">
        <v>45239</v>
      </c>
      <c r="D1140" t="s">
        <v>217</v>
      </c>
      <c r="E1140">
        <v>7</v>
      </c>
      <c r="F1140" s="18">
        <v>100</v>
      </c>
      <c r="G1140" t="s">
        <v>264</v>
      </c>
      <c r="H1140" t="s">
        <v>215</v>
      </c>
      <c r="I1140" t="s">
        <v>631</v>
      </c>
      <c r="J1140" s="21">
        <f>Table1[[#This Row],[interactions]]/Table1[[#This Row],[Attendance]]</f>
        <v>7.0000000000000007E-2</v>
      </c>
    </row>
    <row r="1141" spans="1:10" x14ac:dyDescent="0.2">
      <c r="A1141" t="s">
        <v>11</v>
      </c>
      <c r="B1141" t="s">
        <v>137</v>
      </c>
      <c r="C1141" s="1">
        <v>45541</v>
      </c>
      <c r="D1141" t="s">
        <v>217</v>
      </c>
      <c r="E1141">
        <v>4</v>
      </c>
      <c r="F1141" s="18">
        <v>60</v>
      </c>
      <c r="G1141" t="s">
        <v>883</v>
      </c>
      <c r="H1141" t="s">
        <v>797</v>
      </c>
      <c r="I1141" t="s">
        <v>779</v>
      </c>
      <c r="J1141" s="21">
        <f>Table1[[#This Row],[interactions]]/Table1[[#This Row],[Attendance]]</f>
        <v>6.6666666666666666E-2</v>
      </c>
    </row>
    <row r="1142" spans="1:10" x14ac:dyDescent="0.2">
      <c r="A1142" t="s">
        <v>11</v>
      </c>
      <c r="B1142" t="s">
        <v>724</v>
      </c>
      <c r="C1142" s="1">
        <v>45680</v>
      </c>
      <c r="D1142" t="s">
        <v>366</v>
      </c>
      <c r="E1142">
        <v>5</v>
      </c>
      <c r="F1142" s="18">
        <v>75</v>
      </c>
      <c r="G1142" t="s">
        <v>1645</v>
      </c>
      <c r="H1142" t="s">
        <v>621</v>
      </c>
      <c r="I1142" t="s">
        <v>642</v>
      </c>
      <c r="J1142" s="21">
        <f>Table1[[#This Row],[interactions]]/Table1[[#This Row],[Attendance]]</f>
        <v>6.6666666666666666E-2</v>
      </c>
    </row>
    <row r="1143" spans="1:10" x14ac:dyDescent="0.2">
      <c r="A1143" t="s">
        <v>11</v>
      </c>
      <c r="B1143" t="s">
        <v>641</v>
      </c>
      <c r="C1143" s="1">
        <v>45597</v>
      </c>
      <c r="D1143" t="s">
        <v>366</v>
      </c>
      <c r="E1143">
        <v>5</v>
      </c>
      <c r="F1143" s="18">
        <v>75</v>
      </c>
      <c r="H1143" t="s">
        <v>621</v>
      </c>
      <c r="I1143" t="s">
        <v>642</v>
      </c>
      <c r="J1143" s="21">
        <f>Table1[[#This Row],[interactions]]/Table1[[#This Row],[Attendance]]</f>
        <v>6.6666666666666666E-2</v>
      </c>
    </row>
    <row r="1144" spans="1:10" x14ac:dyDescent="0.2">
      <c r="A1144" t="s">
        <v>11</v>
      </c>
      <c r="B1144" t="s">
        <v>865</v>
      </c>
      <c r="C1144" s="1">
        <v>45548</v>
      </c>
      <c r="D1144" t="s">
        <v>366</v>
      </c>
      <c r="E1144">
        <v>5</v>
      </c>
      <c r="F1144" s="18">
        <v>75</v>
      </c>
      <c r="G1144" t="s">
        <v>864</v>
      </c>
      <c r="H1144" t="s">
        <v>621</v>
      </c>
      <c r="I1144" t="s">
        <v>648</v>
      </c>
      <c r="J1144" s="21">
        <f>Table1[[#This Row],[interactions]]/Table1[[#This Row],[Attendance]]</f>
        <v>6.6666666666666666E-2</v>
      </c>
    </row>
    <row r="1145" spans="1:10" x14ac:dyDescent="0.2">
      <c r="A1145" t="s">
        <v>11</v>
      </c>
      <c r="B1145" t="s">
        <v>1193</v>
      </c>
      <c r="C1145" s="1">
        <v>45414</v>
      </c>
      <c r="D1145" t="s">
        <v>366</v>
      </c>
      <c r="E1145">
        <v>5</v>
      </c>
      <c r="F1145" s="18">
        <v>75</v>
      </c>
      <c r="G1145" t="s">
        <v>1192</v>
      </c>
      <c r="H1145" t="s">
        <v>621</v>
      </c>
      <c r="J1145" s="21">
        <f>Table1[[#This Row],[interactions]]/Table1[[#This Row],[Attendance]]</f>
        <v>6.6666666666666666E-2</v>
      </c>
    </row>
    <row r="1146" spans="1:10" x14ac:dyDescent="0.2">
      <c r="A1146" t="s">
        <v>11</v>
      </c>
      <c r="B1146" t="s">
        <v>833</v>
      </c>
      <c r="C1146" s="1">
        <v>45399</v>
      </c>
      <c r="D1146" t="s">
        <v>366</v>
      </c>
      <c r="E1146">
        <v>5</v>
      </c>
      <c r="F1146" s="18">
        <v>75</v>
      </c>
      <c r="G1146" t="s">
        <v>1233</v>
      </c>
      <c r="H1146" t="s">
        <v>621</v>
      </c>
      <c r="J1146" s="21">
        <f>Table1[[#This Row],[interactions]]/Table1[[#This Row],[Attendance]]</f>
        <v>6.6666666666666666E-2</v>
      </c>
    </row>
    <row r="1147" spans="1:10" x14ac:dyDescent="0.2">
      <c r="A1147" t="s">
        <v>11</v>
      </c>
      <c r="B1147" t="s">
        <v>1402</v>
      </c>
      <c r="C1147" s="1">
        <v>45952</v>
      </c>
      <c r="D1147" t="s">
        <v>217</v>
      </c>
      <c r="E1147">
        <v>10</v>
      </c>
      <c r="F1147" s="18">
        <v>150</v>
      </c>
      <c r="H1147" t="s">
        <v>1401</v>
      </c>
      <c r="I1147" t="s">
        <v>1403</v>
      </c>
      <c r="J1147" s="21">
        <f>Table1[[#This Row],[interactions]]/Table1[[#This Row],[Attendance]]</f>
        <v>6.6666666666666666E-2</v>
      </c>
    </row>
    <row r="1148" spans="1:10" x14ac:dyDescent="0.2">
      <c r="A1148" t="s">
        <v>782</v>
      </c>
      <c r="B1148" t="s">
        <v>1591</v>
      </c>
      <c r="C1148" s="1">
        <v>45749</v>
      </c>
      <c r="D1148" t="s">
        <v>366</v>
      </c>
      <c r="E1148">
        <v>5</v>
      </c>
      <c r="F1148" s="18">
        <v>75</v>
      </c>
      <c r="H1148" t="s">
        <v>621</v>
      </c>
      <c r="I1148" t="s">
        <v>648</v>
      </c>
      <c r="J1148" s="21">
        <f>Table1[[#This Row],[interactions]]/Table1[[#This Row],[Attendance]]</f>
        <v>6.6666666666666666E-2</v>
      </c>
    </row>
    <row r="1149" spans="1:10" x14ac:dyDescent="0.2">
      <c r="A1149" t="s">
        <v>23</v>
      </c>
      <c r="B1149" t="s">
        <v>529</v>
      </c>
      <c r="C1149" s="1">
        <v>44980</v>
      </c>
      <c r="D1149" t="s">
        <v>217</v>
      </c>
      <c r="E1149">
        <v>100</v>
      </c>
      <c r="F1149" s="18">
        <v>1500</v>
      </c>
      <c r="G1149" t="s">
        <v>528</v>
      </c>
      <c r="H1149" t="s">
        <v>490</v>
      </c>
      <c r="I1149" t="s">
        <v>631</v>
      </c>
      <c r="J1149" s="21">
        <f>Table1[[#This Row],[interactions]]/Table1[[#This Row],[Attendance]]</f>
        <v>6.6666666666666666E-2</v>
      </c>
    </row>
    <row r="1150" spans="1:10" x14ac:dyDescent="0.2">
      <c r="A1150" t="s">
        <v>11</v>
      </c>
      <c r="B1150" t="s">
        <v>1574</v>
      </c>
      <c r="C1150" s="1">
        <v>45730</v>
      </c>
      <c r="D1150" t="s">
        <v>366</v>
      </c>
      <c r="E1150">
        <v>5</v>
      </c>
      <c r="F1150" s="18">
        <v>80</v>
      </c>
      <c r="H1150" t="s">
        <v>621</v>
      </c>
      <c r="I1150" t="s">
        <v>642</v>
      </c>
      <c r="J1150" s="21">
        <f>Table1[[#This Row],[interactions]]/Table1[[#This Row],[Attendance]]</f>
        <v>6.25E-2</v>
      </c>
    </row>
    <row r="1151" spans="1:10" x14ac:dyDescent="0.2">
      <c r="A1151" t="s">
        <v>11</v>
      </c>
      <c r="B1151" t="s">
        <v>1574</v>
      </c>
      <c r="C1151" s="1">
        <v>45667</v>
      </c>
      <c r="D1151" t="s">
        <v>366</v>
      </c>
      <c r="E1151">
        <v>5</v>
      </c>
      <c r="F1151" s="18">
        <v>80</v>
      </c>
      <c r="H1151" t="s">
        <v>621</v>
      </c>
      <c r="I1151" t="s">
        <v>642</v>
      </c>
      <c r="J1151" s="21">
        <f>Table1[[#This Row],[interactions]]/Table1[[#This Row],[Attendance]]</f>
        <v>6.25E-2</v>
      </c>
    </row>
    <row r="1152" spans="1:10" x14ac:dyDescent="0.2">
      <c r="A1152" t="s">
        <v>11</v>
      </c>
      <c r="B1152" t="s">
        <v>351</v>
      </c>
      <c r="C1152" s="1">
        <v>45183</v>
      </c>
      <c r="D1152" t="s">
        <v>217</v>
      </c>
      <c r="E1152">
        <v>30</v>
      </c>
      <c r="F1152" s="18">
        <v>500</v>
      </c>
      <c r="G1152" t="s">
        <v>350</v>
      </c>
      <c r="H1152" t="s">
        <v>229</v>
      </c>
      <c r="I1152" t="s">
        <v>631</v>
      </c>
      <c r="J1152" s="21">
        <f>Table1[[#This Row],[interactions]]/Table1[[#This Row],[Attendance]]</f>
        <v>0.06</v>
      </c>
    </row>
    <row r="1153" spans="1:10" x14ac:dyDescent="0.2">
      <c r="A1153" t="s">
        <v>640</v>
      </c>
      <c r="B1153" t="s">
        <v>1505</v>
      </c>
      <c r="C1153" s="1">
        <v>45885</v>
      </c>
      <c r="D1153" t="s">
        <v>115</v>
      </c>
      <c r="E1153">
        <v>1746</v>
      </c>
      <c r="F1153" s="18">
        <v>30000</v>
      </c>
      <c r="H1153" t="s">
        <v>685</v>
      </c>
      <c r="I1153" t="s">
        <v>976</v>
      </c>
      <c r="J1153" s="21">
        <f>Table1[[#This Row],[interactions]]/Table1[[#This Row],[Attendance]]</f>
        <v>5.8200000000000002E-2</v>
      </c>
    </row>
    <row r="1154" spans="1:10" x14ac:dyDescent="0.2">
      <c r="A1154" t="s">
        <v>11</v>
      </c>
      <c r="B1154" t="s">
        <v>478</v>
      </c>
      <c r="C1154" s="1">
        <v>45050</v>
      </c>
      <c r="D1154" t="s">
        <v>217</v>
      </c>
      <c r="E1154">
        <v>5</v>
      </c>
      <c r="F1154" s="18">
        <v>100</v>
      </c>
      <c r="G1154" t="s">
        <v>477</v>
      </c>
      <c r="H1154" t="s">
        <v>215</v>
      </c>
      <c r="I1154" t="s">
        <v>631</v>
      </c>
      <c r="J1154" s="21">
        <f>Table1[[#This Row],[interactions]]/Table1[[#This Row],[Attendance]]</f>
        <v>0.05</v>
      </c>
    </row>
    <row r="1155" spans="1:10" x14ac:dyDescent="0.2">
      <c r="A1155" t="s">
        <v>11</v>
      </c>
      <c r="B1155" t="s">
        <v>740</v>
      </c>
      <c r="C1155" s="1">
        <v>45708</v>
      </c>
      <c r="D1155" t="s">
        <v>217</v>
      </c>
      <c r="E1155">
        <v>10</v>
      </c>
      <c r="F1155" s="18">
        <v>200</v>
      </c>
      <c r="H1155" t="s">
        <v>1409</v>
      </c>
      <c r="I1155" t="s">
        <v>614</v>
      </c>
      <c r="J1155" s="21">
        <f>Table1[[#This Row],[interactions]]/Table1[[#This Row],[Attendance]]</f>
        <v>0.05</v>
      </c>
    </row>
    <row r="1156" spans="1:10" x14ac:dyDescent="0.2">
      <c r="A1156" t="s">
        <v>11</v>
      </c>
      <c r="B1156" t="s">
        <v>300</v>
      </c>
      <c r="C1156" s="1">
        <v>45673</v>
      </c>
      <c r="D1156" t="s">
        <v>217</v>
      </c>
      <c r="E1156">
        <v>10</v>
      </c>
      <c r="F1156" s="18">
        <v>200</v>
      </c>
      <c r="H1156" t="s">
        <v>1409</v>
      </c>
      <c r="I1156" t="s">
        <v>614</v>
      </c>
      <c r="J1156" s="21">
        <f>Table1[[#This Row],[interactions]]/Table1[[#This Row],[Attendance]]</f>
        <v>0.05</v>
      </c>
    </row>
    <row r="1157" spans="1:10" x14ac:dyDescent="0.2">
      <c r="A1157" t="s">
        <v>11</v>
      </c>
      <c r="B1157" t="s">
        <v>527</v>
      </c>
      <c r="C1157" s="1">
        <v>44981</v>
      </c>
      <c r="D1157" t="s">
        <v>217</v>
      </c>
      <c r="E1157">
        <v>10</v>
      </c>
      <c r="F1157" s="18">
        <v>200</v>
      </c>
      <c r="G1157" t="s">
        <v>526</v>
      </c>
      <c r="H1157" t="s">
        <v>525</v>
      </c>
      <c r="I1157" t="s">
        <v>631</v>
      </c>
      <c r="J1157" s="21">
        <f>Table1[[#This Row],[interactions]]/Table1[[#This Row],[Attendance]]</f>
        <v>0.05</v>
      </c>
    </row>
    <row r="1158" spans="1:10" x14ac:dyDescent="0.2">
      <c r="A1158" t="s">
        <v>11</v>
      </c>
      <c r="B1158" t="s">
        <v>12</v>
      </c>
      <c r="C1158" s="1">
        <v>44399</v>
      </c>
      <c r="D1158" t="s">
        <v>13</v>
      </c>
      <c r="E1158">
        <v>10</v>
      </c>
      <c r="F1158" s="18">
        <v>200</v>
      </c>
      <c r="G1158" t="s">
        <v>14</v>
      </c>
      <c r="H1158" t="s">
        <v>10</v>
      </c>
      <c r="I1158" t="s">
        <v>631</v>
      </c>
      <c r="J1158" s="21">
        <f>Table1[[#This Row],[interactions]]/Table1[[#This Row],[Attendance]]</f>
        <v>0.05</v>
      </c>
    </row>
    <row r="1159" spans="1:10" x14ac:dyDescent="0.2">
      <c r="A1159" t="s">
        <v>15</v>
      </c>
      <c r="B1159" t="s">
        <v>1215</v>
      </c>
      <c r="C1159" s="1">
        <v>45407</v>
      </c>
      <c r="D1159" t="s">
        <v>217</v>
      </c>
      <c r="E1159">
        <v>5</v>
      </c>
      <c r="F1159" s="18">
        <v>100</v>
      </c>
      <c r="G1159" t="s">
        <v>1214</v>
      </c>
      <c r="H1159" t="s">
        <v>1213</v>
      </c>
      <c r="J1159" s="21">
        <f>Table1[[#This Row],[interactions]]/Table1[[#This Row],[Attendance]]</f>
        <v>0.05</v>
      </c>
    </row>
    <row r="1160" spans="1:10" x14ac:dyDescent="0.2">
      <c r="A1160" t="s">
        <v>640</v>
      </c>
      <c r="B1160" t="s">
        <v>1582</v>
      </c>
      <c r="C1160" s="1">
        <v>45685</v>
      </c>
      <c r="D1160" t="s">
        <v>217</v>
      </c>
      <c r="E1160">
        <v>5</v>
      </c>
      <c r="F1160" s="18">
        <v>100</v>
      </c>
      <c r="H1160" t="s">
        <v>1643</v>
      </c>
      <c r="I1160" t="s">
        <v>631</v>
      </c>
      <c r="J1160" s="21">
        <f>Table1[[#This Row],[interactions]]/Table1[[#This Row],[Attendance]]</f>
        <v>0.05</v>
      </c>
    </row>
    <row r="1161" spans="1:10" x14ac:dyDescent="0.2">
      <c r="A1161" t="s">
        <v>11</v>
      </c>
      <c r="B1161" t="s">
        <v>740</v>
      </c>
      <c r="C1161" s="1">
        <v>45855</v>
      </c>
      <c r="D1161" t="s">
        <v>217</v>
      </c>
      <c r="E1161">
        <v>12</v>
      </c>
      <c r="F1161" s="18">
        <v>250</v>
      </c>
      <c r="H1161" t="s">
        <v>1409</v>
      </c>
      <c r="I1161" t="s">
        <v>614</v>
      </c>
      <c r="J1161" s="21">
        <f>Table1[[#This Row],[interactions]]/Table1[[#This Row],[Attendance]]</f>
        <v>4.8000000000000001E-2</v>
      </c>
    </row>
    <row r="1162" spans="1:10" x14ac:dyDescent="0.2">
      <c r="A1162" t="s">
        <v>15</v>
      </c>
      <c r="B1162" t="s">
        <v>122</v>
      </c>
      <c r="C1162" s="1">
        <v>44825</v>
      </c>
      <c r="D1162" t="s">
        <v>48</v>
      </c>
      <c r="E1162">
        <v>10</v>
      </c>
      <c r="F1162" s="18">
        <v>230</v>
      </c>
      <c r="G1162" t="s">
        <v>121</v>
      </c>
      <c r="H1162" t="s">
        <v>22</v>
      </c>
      <c r="I1162" t="s">
        <v>631</v>
      </c>
      <c r="J1162" s="21">
        <f>Table1[[#This Row],[interactions]]/Table1[[#This Row],[Attendance]]</f>
        <v>4.3478260869565216E-2</v>
      </c>
    </row>
    <row r="1163" spans="1:10" x14ac:dyDescent="0.2">
      <c r="A1163" t="s">
        <v>15</v>
      </c>
      <c r="B1163" t="s">
        <v>1527</v>
      </c>
      <c r="C1163" s="1">
        <v>45860</v>
      </c>
      <c r="D1163" t="s">
        <v>217</v>
      </c>
      <c r="E1163">
        <v>3</v>
      </c>
      <c r="F1163" s="18">
        <v>70</v>
      </c>
      <c r="H1163" t="s">
        <v>1526</v>
      </c>
      <c r="I1163" t="s">
        <v>631</v>
      </c>
      <c r="J1163" s="21">
        <f>Table1[[#This Row],[interactions]]/Table1[[#This Row],[Attendance]]</f>
        <v>4.2857142857142858E-2</v>
      </c>
    </row>
    <row r="1164" spans="1:10" x14ac:dyDescent="0.2">
      <c r="A1164" t="s">
        <v>11</v>
      </c>
      <c r="B1164" t="s">
        <v>825</v>
      </c>
      <c r="C1164" s="1">
        <v>45558</v>
      </c>
      <c r="D1164" t="s">
        <v>366</v>
      </c>
      <c r="E1164">
        <v>10</v>
      </c>
      <c r="F1164" s="18">
        <v>250</v>
      </c>
      <c r="G1164" t="s">
        <v>824</v>
      </c>
      <c r="H1164" t="s">
        <v>621</v>
      </c>
      <c r="I1164" t="s">
        <v>648</v>
      </c>
      <c r="J1164" s="21">
        <f>Table1[[#This Row],[interactions]]/Table1[[#This Row],[Attendance]]</f>
        <v>0.04</v>
      </c>
    </row>
    <row r="1165" spans="1:10" x14ac:dyDescent="0.2">
      <c r="A1165" t="s">
        <v>23</v>
      </c>
      <c r="B1165" t="s">
        <v>27</v>
      </c>
      <c r="C1165" s="1">
        <v>45923</v>
      </c>
      <c r="D1165" t="s">
        <v>28</v>
      </c>
      <c r="E1165">
        <v>60</v>
      </c>
      <c r="F1165" s="18">
        <v>1500</v>
      </c>
      <c r="G1165" t="s">
        <v>29</v>
      </c>
      <c r="H1165" t="s">
        <v>10</v>
      </c>
      <c r="I1165" t="s">
        <v>631</v>
      </c>
      <c r="J1165" s="21">
        <f>Table1[[#This Row],[interactions]]/Table1[[#This Row],[Attendance]]</f>
        <v>0.04</v>
      </c>
    </row>
    <row r="1166" spans="1:10" x14ac:dyDescent="0.2">
      <c r="A1166" t="s">
        <v>11</v>
      </c>
      <c r="B1166" t="s">
        <v>778</v>
      </c>
      <c r="C1166" s="1">
        <v>45569</v>
      </c>
      <c r="D1166" t="s">
        <v>217</v>
      </c>
      <c r="E1166">
        <v>3</v>
      </c>
      <c r="F1166" s="18">
        <v>80</v>
      </c>
      <c r="G1166" t="s">
        <v>777</v>
      </c>
      <c r="I1166" t="s">
        <v>779</v>
      </c>
      <c r="J1166" s="21">
        <f>Table1[[#This Row],[interactions]]/Table1[[#This Row],[Attendance]]</f>
        <v>3.7499999999999999E-2</v>
      </c>
    </row>
    <row r="1167" spans="1:10" x14ac:dyDescent="0.2">
      <c r="A1167" t="s">
        <v>11</v>
      </c>
      <c r="B1167" t="s">
        <v>951</v>
      </c>
      <c r="C1167" s="1">
        <v>45513</v>
      </c>
      <c r="D1167" t="s">
        <v>366</v>
      </c>
      <c r="E1167">
        <v>15</v>
      </c>
      <c r="F1167" s="18">
        <v>400</v>
      </c>
      <c r="G1167" t="s">
        <v>950</v>
      </c>
      <c r="H1167" t="s">
        <v>621</v>
      </c>
      <c r="I1167" t="s">
        <v>952</v>
      </c>
      <c r="J1167" s="21">
        <f>Table1[[#This Row],[interactions]]/Table1[[#This Row],[Attendance]]</f>
        <v>3.7499999999999999E-2</v>
      </c>
    </row>
    <row r="1168" spans="1:10" x14ac:dyDescent="0.2">
      <c r="A1168" t="s">
        <v>721</v>
      </c>
      <c r="B1168" t="s">
        <v>722</v>
      </c>
      <c r="C1168" s="1">
        <v>45589</v>
      </c>
      <c r="D1168" t="s">
        <v>217</v>
      </c>
      <c r="E1168">
        <v>10</v>
      </c>
      <c r="F1168" s="18">
        <v>300</v>
      </c>
      <c r="G1168" t="s">
        <v>720</v>
      </c>
      <c r="H1168" t="s">
        <v>608</v>
      </c>
      <c r="I1168" t="s">
        <v>697</v>
      </c>
      <c r="J1168" s="21">
        <f>Table1[[#This Row],[interactions]]/Table1[[#This Row],[Attendance]]</f>
        <v>3.3333333333333333E-2</v>
      </c>
    </row>
    <row r="1169" spans="1:10" x14ac:dyDescent="0.2">
      <c r="A1169" t="s">
        <v>11</v>
      </c>
      <c r="B1169" t="s">
        <v>641</v>
      </c>
      <c r="C1169" s="1">
        <v>45632</v>
      </c>
      <c r="D1169" t="s">
        <v>640</v>
      </c>
      <c r="E1169">
        <v>5</v>
      </c>
      <c r="F1169" s="18">
        <v>150</v>
      </c>
      <c r="H1169" t="s">
        <v>621</v>
      </c>
      <c r="I1169" t="s">
        <v>642</v>
      </c>
      <c r="J1169" s="21">
        <f>Table1[[#This Row],[interactions]]/Table1[[#This Row],[Attendance]]</f>
        <v>3.3333333333333333E-2</v>
      </c>
    </row>
    <row r="1170" spans="1:10" x14ac:dyDescent="0.2">
      <c r="A1170" t="s">
        <v>11</v>
      </c>
      <c r="B1170" t="s">
        <v>304</v>
      </c>
      <c r="C1170" s="1">
        <v>45211</v>
      </c>
      <c r="D1170" t="s">
        <v>217</v>
      </c>
      <c r="E1170">
        <v>5</v>
      </c>
      <c r="F1170" s="18">
        <v>150</v>
      </c>
      <c r="G1170" t="s">
        <v>303</v>
      </c>
      <c r="H1170" t="s">
        <v>215</v>
      </c>
      <c r="I1170" t="s">
        <v>631</v>
      </c>
      <c r="J1170" s="21">
        <f>Table1[[#This Row],[interactions]]/Table1[[#This Row],[Attendance]]</f>
        <v>3.3333333333333333E-2</v>
      </c>
    </row>
    <row r="1171" spans="1:10" x14ac:dyDescent="0.2">
      <c r="A1171" t="s">
        <v>15</v>
      </c>
      <c r="B1171" t="s">
        <v>75</v>
      </c>
      <c r="C1171" s="1">
        <v>44513</v>
      </c>
      <c r="D1171" t="s">
        <v>28</v>
      </c>
      <c r="E1171">
        <v>50</v>
      </c>
      <c r="F1171" s="18">
        <v>1500</v>
      </c>
      <c r="G1171" t="s">
        <v>76</v>
      </c>
      <c r="H1171" t="s">
        <v>10</v>
      </c>
      <c r="I1171" t="s">
        <v>631</v>
      </c>
      <c r="J1171" s="21">
        <f>Table1[[#This Row],[interactions]]/Table1[[#This Row],[Attendance]]</f>
        <v>3.3333333333333333E-2</v>
      </c>
    </row>
    <row r="1172" spans="1:10" x14ac:dyDescent="0.2">
      <c r="A1172" t="s">
        <v>11</v>
      </c>
      <c r="B1172" t="s">
        <v>317</v>
      </c>
      <c r="C1172" s="1">
        <v>45204</v>
      </c>
      <c r="D1172" t="s">
        <v>217</v>
      </c>
      <c r="E1172">
        <v>6</v>
      </c>
      <c r="F1172" s="18">
        <v>200</v>
      </c>
      <c r="G1172" t="s">
        <v>316</v>
      </c>
      <c r="H1172" t="s">
        <v>215</v>
      </c>
      <c r="I1172" t="s">
        <v>631</v>
      </c>
      <c r="J1172" s="21">
        <f>Table1[[#This Row],[interactions]]/Table1[[#This Row],[Attendance]]</f>
        <v>0.03</v>
      </c>
    </row>
    <row r="1173" spans="1:10" x14ac:dyDescent="0.2">
      <c r="A1173" t="s">
        <v>15</v>
      </c>
      <c r="B1173" t="s">
        <v>68</v>
      </c>
      <c r="C1173" s="1">
        <v>44504</v>
      </c>
      <c r="D1173" t="s">
        <v>66</v>
      </c>
      <c r="E1173">
        <v>20</v>
      </c>
      <c r="F1173" s="18">
        <v>700</v>
      </c>
      <c r="G1173" t="s">
        <v>69</v>
      </c>
      <c r="H1173" t="s">
        <v>10</v>
      </c>
      <c r="I1173" t="s">
        <v>631</v>
      </c>
      <c r="J1173" s="21">
        <f>Table1[[#This Row],[interactions]]/Table1[[#This Row],[Attendance]]</f>
        <v>2.8571428571428571E-2</v>
      </c>
    </row>
    <row r="1174" spans="1:10" x14ac:dyDescent="0.2">
      <c r="A1174" t="s">
        <v>640</v>
      </c>
      <c r="B1174" t="s">
        <v>1598</v>
      </c>
      <c r="C1174" s="1">
        <v>45737</v>
      </c>
      <c r="D1174" t="s">
        <v>217</v>
      </c>
      <c r="E1174">
        <v>2</v>
      </c>
      <c r="F1174" s="18">
        <v>70</v>
      </c>
      <c r="H1174" t="s">
        <v>649</v>
      </c>
      <c r="I1174" t="s">
        <v>645</v>
      </c>
      <c r="J1174" s="21">
        <f>Table1[[#This Row],[interactions]]/Table1[[#This Row],[Attendance]]</f>
        <v>2.8571428571428571E-2</v>
      </c>
    </row>
    <row r="1175" spans="1:10" x14ac:dyDescent="0.2">
      <c r="A1175" t="s">
        <v>721</v>
      </c>
      <c r="B1175" t="s">
        <v>1626</v>
      </c>
      <c r="C1175" s="1">
        <v>45715</v>
      </c>
      <c r="D1175" t="s">
        <v>217</v>
      </c>
      <c r="E1175">
        <v>18</v>
      </c>
      <c r="F1175" s="18">
        <v>700</v>
      </c>
      <c r="G1175" t="s">
        <v>1625</v>
      </c>
      <c r="H1175" t="s">
        <v>608</v>
      </c>
      <c r="I1175" t="s">
        <v>697</v>
      </c>
      <c r="J1175" s="21">
        <f>Table1[[#This Row],[interactions]]/Table1[[#This Row],[Attendance]]</f>
        <v>2.5714285714285714E-2</v>
      </c>
    </row>
    <row r="1176" spans="1:10" x14ac:dyDescent="0.2">
      <c r="A1176" t="s">
        <v>15</v>
      </c>
      <c r="B1176" t="s">
        <v>870</v>
      </c>
      <c r="C1176" s="1">
        <v>45547</v>
      </c>
      <c r="D1176" t="s">
        <v>217</v>
      </c>
      <c r="E1176">
        <v>5</v>
      </c>
      <c r="F1176" s="18">
        <v>200</v>
      </c>
      <c r="G1176" t="s">
        <v>869</v>
      </c>
      <c r="H1176" t="s">
        <v>868</v>
      </c>
      <c r="I1176" t="s">
        <v>871</v>
      </c>
      <c r="J1176" s="21">
        <f>Table1[[#This Row],[interactions]]/Table1[[#This Row],[Attendance]]</f>
        <v>2.5000000000000001E-2</v>
      </c>
    </row>
    <row r="1177" spans="1:10" x14ac:dyDescent="0.2">
      <c r="A1177" t="s">
        <v>11</v>
      </c>
      <c r="B1177" t="s">
        <v>276</v>
      </c>
      <c r="C1177" s="1">
        <v>45233</v>
      </c>
      <c r="D1177" t="s">
        <v>217</v>
      </c>
      <c r="E1177">
        <v>6</v>
      </c>
      <c r="F1177" s="18">
        <v>300</v>
      </c>
      <c r="G1177" t="s">
        <v>275</v>
      </c>
      <c r="H1177" t="s">
        <v>274</v>
      </c>
      <c r="I1177" t="s">
        <v>631</v>
      </c>
      <c r="J1177" s="21">
        <f>Table1[[#This Row],[interactions]]/Table1[[#This Row],[Attendance]]</f>
        <v>0.02</v>
      </c>
    </row>
    <row r="1178" spans="1:10" x14ac:dyDescent="0.2">
      <c r="A1178" t="s">
        <v>15</v>
      </c>
      <c r="B1178" t="s">
        <v>201</v>
      </c>
      <c r="C1178" s="1">
        <v>45426</v>
      </c>
      <c r="D1178" t="s">
        <v>217</v>
      </c>
      <c r="E1178">
        <v>2</v>
      </c>
      <c r="F1178" s="18">
        <v>100</v>
      </c>
      <c r="G1178" t="s">
        <v>1166</v>
      </c>
      <c r="H1178" t="s">
        <v>1093</v>
      </c>
      <c r="J1178" s="21">
        <f>Table1[[#This Row],[interactions]]/Table1[[#This Row],[Attendance]]</f>
        <v>0.02</v>
      </c>
    </row>
    <row r="1179" spans="1:10" x14ac:dyDescent="0.2">
      <c r="A1179" t="s">
        <v>23</v>
      </c>
      <c r="B1179" t="s">
        <v>27</v>
      </c>
      <c r="C1179" s="1">
        <v>45801</v>
      </c>
      <c r="D1179" t="s">
        <v>94</v>
      </c>
      <c r="E1179">
        <v>100</v>
      </c>
      <c r="F1179" s="18">
        <v>6000</v>
      </c>
      <c r="G1179" t="s">
        <v>463</v>
      </c>
      <c r="H1179" t="s">
        <v>22</v>
      </c>
      <c r="I1179" t="s">
        <v>631</v>
      </c>
      <c r="J1179" s="21">
        <f>Table1[[#This Row],[interactions]]/Table1[[#This Row],[Attendance]]</f>
        <v>1.6666666666666666E-2</v>
      </c>
    </row>
    <row r="1180" spans="1:10" x14ac:dyDescent="0.2">
      <c r="A1180" t="s">
        <v>94</v>
      </c>
      <c r="B1180" t="s">
        <v>16</v>
      </c>
      <c r="C1180" s="1">
        <v>44406</v>
      </c>
      <c r="D1180" t="s">
        <v>17</v>
      </c>
      <c r="E1180">
        <v>350</v>
      </c>
      <c r="F1180" s="18">
        <v>30000</v>
      </c>
      <c r="G1180" t="s">
        <v>18</v>
      </c>
      <c r="H1180" t="s">
        <v>10</v>
      </c>
      <c r="I1180" t="s">
        <v>631</v>
      </c>
      <c r="J1180" s="21">
        <f>Table1[[#This Row],[interactions]]/Table1[[#This Row],[Attendance]]</f>
        <v>1.1666666666666667E-2</v>
      </c>
    </row>
    <row r="1181" spans="1:10" x14ac:dyDescent="0.2">
      <c r="A1181" t="s">
        <v>94</v>
      </c>
      <c r="B1181" t="s">
        <v>686</v>
      </c>
      <c r="C1181" s="1">
        <v>45612</v>
      </c>
      <c r="D1181" t="s">
        <v>115</v>
      </c>
      <c r="E1181">
        <v>760</v>
      </c>
      <c r="F1181" s="18">
        <v>75304</v>
      </c>
      <c r="H1181" t="s">
        <v>685</v>
      </c>
      <c r="I1181" t="s">
        <v>687</v>
      </c>
      <c r="J1181" s="21">
        <f>Table1[[#This Row],[interactions]]/Table1[[#This Row],[Attendance]]</f>
        <v>1.0092425369170297E-2</v>
      </c>
    </row>
    <row r="1182" spans="1:10" x14ac:dyDescent="0.2">
      <c r="A1182" t="s">
        <v>11</v>
      </c>
      <c r="B1182" t="s">
        <v>1040</v>
      </c>
      <c r="C1182" s="1">
        <v>45484</v>
      </c>
      <c r="D1182" t="s">
        <v>366</v>
      </c>
      <c r="E1182">
        <v>3</v>
      </c>
      <c r="F1182" s="18">
        <v>300</v>
      </c>
      <c r="G1182" t="s">
        <v>1039</v>
      </c>
      <c r="H1182" t="s">
        <v>1038</v>
      </c>
      <c r="I1182" t="s">
        <v>600</v>
      </c>
      <c r="J1182" s="21">
        <f>Table1[[#This Row],[interactions]]/Table1[[#This Row],[Attendance]]</f>
        <v>0.01</v>
      </c>
    </row>
    <row r="1183" spans="1:10" x14ac:dyDescent="0.2">
      <c r="A1183" t="s">
        <v>11</v>
      </c>
      <c r="B1183" t="s">
        <v>195</v>
      </c>
      <c r="C1183" s="1">
        <v>45007</v>
      </c>
      <c r="D1183" t="s">
        <v>366</v>
      </c>
      <c r="E1183">
        <v>10</v>
      </c>
      <c r="F1183" s="18">
        <v>1000</v>
      </c>
      <c r="G1183" t="s">
        <v>506</v>
      </c>
      <c r="H1183" t="s">
        <v>498</v>
      </c>
      <c r="I1183" t="s">
        <v>631</v>
      </c>
      <c r="J1183" s="21">
        <f>Table1[[#This Row],[interactions]]/Table1[[#This Row],[Attendance]]</f>
        <v>0.01</v>
      </c>
    </row>
    <row r="1184" spans="1:10" x14ac:dyDescent="0.2">
      <c r="A1184" t="s">
        <v>11</v>
      </c>
      <c r="B1184" t="s">
        <v>409</v>
      </c>
      <c r="C1184" s="1">
        <v>45134</v>
      </c>
      <c r="D1184" t="s">
        <v>217</v>
      </c>
      <c r="E1184">
        <v>0</v>
      </c>
      <c r="F1184" s="18">
        <v>200</v>
      </c>
      <c r="G1184" t="s">
        <v>408</v>
      </c>
      <c r="H1184" t="s">
        <v>215</v>
      </c>
      <c r="I1184" t="s">
        <v>631</v>
      </c>
      <c r="J1184" s="21">
        <f>Table1[[#This Row],[interactions]]/Table1[[#This Row],[Attendance]]</f>
        <v>0</v>
      </c>
    </row>
    <row r="1185" spans="1:10" x14ac:dyDescent="0.2">
      <c r="A1185" t="s">
        <v>11</v>
      </c>
      <c r="B1185" t="s">
        <v>1254</v>
      </c>
      <c r="C1185" s="1">
        <v>45388</v>
      </c>
      <c r="D1185" t="s">
        <v>217</v>
      </c>
      <c r="E1185">
        <v>0</v>
      </c>
      <c r="F1185" s="18">
        <v>800</v>
      </c>
      <c r="G1185" t="s">
        <v>1253</v>
      </c>
      <c r="H1185" t="s">
        <v>1252</v>
      </c>
      <c r="J1185" s="21">
        <f>Table1[[#This Row],[interactions]]/Table1[[#This Row],[Attendance]]</f>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O53"/>
  <sheetViews>
    <sheetView workbookViewId="0">
      <selection activeCell="H42" sqref="H42"/>
    </sheetView>
  </sheetViews>
  <sheetFormatPr baseColWidth="10" defaultColWidth="25.5" defaultRowHeight="28" customHeight="1" x14ac:dyDescent="0.2"/>
  <cols>
    <col min="1" max="16384" width="25.5" style="3"/>
  </cols>
  <sheetData>
    <row r="1" spans="1:15" s="8" customFormat="1" ht="57" customHeight="1" x14ac:dyDescent="0.2">
      <c r="A1" s="14" t="s">
        <v>1844</v>
      </c>
      <c r="B1" s="14" t="s">
        <v>337</v>
      </c>
      <c r="C1" s="14" t="s">
        <v>1843</v>
      </c>
      <c r="D1" s="13" t="s">
        <v>1842</v>
      </c>
      <c r="E1" s="12" t="s">
        <v>1841</v>
      </c>
      <c r="F1" s="12" t="s">
        <v>1840</v>
      </c>
      <c r="G1" s="11" t="s">
        <v>1839</v>
      </c>
      <c r="H1" s="10"/>
      <c r="I1" s="10"/>
      <c r="J1" s="9"/>
      <c r="K1" s="9"/>
      <c r="L1" s="9"/>
      <c r="M1" s="9"/>
      <c r="N1" s="9"/>
      <c r="O1" s="9"/>
    </row>
    <row r="2" spans="1:15" ht="28" customHeight="1" x14ac:dyDescent="0.2">
      <c r="A2" s="3" t="s">
        <v>697</v>
      </c>
      <c r="B2" s="3" t="s">
        <v>1828</v>
      </c>
      <c r="C2" s="3">
        <v>13</v>
      </c>
      <c r="D2" s="3">
        <v>345</v>
      </c>
      <c r="E2" s="3">
        <v>1</v>
      </c>
      <c r="F2" s="3">
        <v>0</v>
      </c>
      <c r="G2" s="3" t="s">
        <v>1835</v>
      </c>
    </row>
    <row r="3" spans="1:15" ht="28" customHeight="1" x14ac:dyDescent="0.2">
      <c r="A3" s="3" t="s">
        <v>610</v>
      </c>
      <c r="B3" s="3" t="s">
        <v>687</v>
      </c>
      <c r="C3" s="3">
        <v>15</v>
      </c>
      <c r="D3" s="5">
        <v>2465</v>
      </c>
      <c r="E3" s="3">
        <v>0</v>
      </c>
      <c r="F3" s="3">
        <v>2</v>
      </c>
      <c r="G3" s="3" t="s">
        <v>1835</v>
      </c>
    </row>
    <row r="4" spans="1:15" ht="28" customHeight="1" x14ac:dyDescent="0.2">
      <c r="A4" s="3" t="s">
        <v>1639</v>
      </c>
      <c r="B4" s="3" t="s">
        <v>1828</v>
      </c>
      <c r="C4" s="3">
        <v>1</v>
      </c>
      <c r="D4" s="3">
        <v>75</v>
      </c>
      <c r="E4" s="3">
        <v>1</v>
      </c>
      <c r="F4" s="3">
        <v>0</v>
      </c>
      <c r="G4" s="3" t="s">
        <v>1829</v>
      </c>
    </row>
    <row r="5" spans="1:15" ht="28" customHeight="1" x14ac:dyDescent="0.2">
      <c r="A5" s="3" t="s">
        <v>642</v>
      </c>
      <c r="B5" s="3" t="s">
        <v>1828</v>
      </c>
      <c r="C5" s="3">
        <v>15</v>
      </c>
      <c r="D5" s="3">
        <v>194</v>
      </c>
      <c r="E5" s="3">
        <v>0</v>
      </c>
      <c r="F5" s="3">
        <v>1</v>
      </c>
      <c r="G5" s="3" t="s">
        <v>1827</v>
      </c>
    </row>
    <row r="6" spans="1:15" ht="28" customHeight="1" x14ac:dyDescent="0.2">
      <c r="A6" s="3" t="s">
        <v>1838</v>
      </c>
      <c r="B6" s="3" t="s">
        <v>790</v>
      </c>
      <c r="C6" s="3">
        <v>22</v>
      </c>
      <c r="D6" s="3">
        <v>1313</v>
      </c>
      <c r="E6" s="3">
        <v>5</v>
      </c>
      <c r="F6" s="3">
        <v>4</v>
      </c>
      <c r="G6" s="3" t="s">
        <v>1722</v>
      </c>
    </row>
    <row r="7" spans="1:15" ht="28" customHeight="1" x14ac:dyDescent="0.2">
      <c r="A7" s="3" t="s">
        <v>679</v>
      </c>
      <c r="B7" s="3" t="s">
        <v>687</v>
      </c>
      <c r="C7" s="3">
        <v>25</v>
      </c>
      <c r="D7" s="5">
        <v>3380</v>
      </c>
      <c r="E7" s="3">
        <v>4</v>
      </c>
      <c r="F7" s="3">
        <v>4</v>
      </c>
      <c r="G7" s="3" t="s">
        <v>1837</v>
      </c>
    </row>
    <row r="8" spans="1:15" ht="28" customHeight="1" x14ac:dyDescent="0.2">
      <c r="A8" s="3" t="s">
        <v>614</v>
      </c>
      <c r="B8" s="3" t="s">
        <v>645</v>
      </c>
      <c r="C8" s="3">
        <v>12</v>
      </c>
      <c r="D8" s="3">
        <v>600</v>
      </c>
      <c r="E8" s="3">
        <v>3</v>
      </c>
      <c r="F8" s="3">
        <v>2</v>
      </c>
      <c r="G8" s="3" t="s">
        <v>1831</v>
      </c>
    </row>
    <row r="9" spans="1:15" ht="28" customHeight="1" x14ac:dyDescent="0.2">
      <c r="A9" s="3" t="s">
        <v>976</v>
      </c>
      <c r="B9" s="3" t="s">
        <v>1828</v>
      </c>
      <c r="C9" s="3">
        <v>1</v>
      </c>
      <c r="D9" s="5">
        <v>1850</v>
      </c>
      <c r="E9" s="3">
        <v>0</v>
      </c>
      <c r="F9" s="3">
        <v>1</v>
      </c>
      <c r="G9" s="3" t="s">
        <v>1829</v>
      </c>
    </row>
    <row r="10" spans="1:15" ht="28" customHeight="1" x14ac:dyDescent="0.2">
      <c r="A10" s="3" t="s">
        <v>625</v>
      </c>
      <c r="B10" s="3" t="s">
        <v>687</v>
      </c>
      <c r="C10" s="3">
        <v>15</v>
      </c>
      <c r="D10" s="3">
        <v>201</v>
      </c>
      <c r="E10" s="3">
        <v>1</v>
      </c>
      <c r="F10" s="3">
        <v>0</v>
      </c>
      <c r="G10" s="3" t="s">
        <v>1827</v>
      </c>
    </row>
    <row r="11" spans="1:15" ht="28" customHeight="1" x14ac:dyDescent="0.2">
      <c r="A11" s="3" t="s">
        <v>675</v>
      </c>
      <c r="B11" s="3" t="s">
        <v>687</v>
      </c>
      <c r="C11" s="3">
        <v>8</v>
      </c>
      <c r="D11" s="5">
        <v>105</v>
      </c>
      <c r="E11" s="3">
        <v>1</v>
      </c>
      <c r="F11" s="3">
        <v>0</v>
      </c>
      <c r="G11" s="3" t="s">
        <v>1827</v>
      </c>
    </row>
    <row r="12" spans="1:15" ht="28" customHeight="1" x14ac:dyDescent="0.2">
      <c r="A12" s="3" t="s">
        <v>651</v>
      </c>
      <c r="B12" s="3" t="s">
        <v>645</v>
      </c>
      <c r="C12" s="3">
        <v>8</v>
      </c>
      <c r="D12" s="3">
        <v>1017</v>
      </c>
      <c r="E12" s="3">
        <v>2</v>
      </c>
      <c r="F12" s="3">
        <v>1</v>
      </c>
      <c r="G12" s="3" t="s">
        <v>1722</v>
      </c>
    </row>
    <row r="13" spans="1:15" ht="28" customHeight="1" x14ac:dyDescent="0.2">
      <c r="A13" s="3" t="s">
        <v>735</v>
      </c>
      <c r="B13" s="3" t="s">
        <v>790</v>
      </c>
      <c r="C13" s="3">
        <v>10</v>
      </c>
      <c r="D13" s="5">
        <v>77</v>
      </c>
      <c r="E13" s="3">
        <v>0</v>
      </c>
      <c r="F13" s="3">
        <v>0</v>
      </c>
      <c r="G13" s="3" t="s">
        <v>1830</v>
      </c>
    </row>
    <row r="14" spans="1:15" ht="28" customHeight="1" x14ac:dyDescent="0.2">
      <c r="A14" s="3" t="s">
        <v>596</v>
      </c>
      <c r="B14" s="3" t="s">
        <v>687</v>
      </c>
      <c r="C14" s="7">
        <v>12</v>
      </c>
      <c r="D14" s="3">
        <v>287</v>
      </c>
      <c r="E14" s="3">
        <v>1</v>
      </c>
      <c r="F14" s="3">
        <v>0</v>
      </c>
      <c r="G14" s="3" t="s">
        <v>1722</v>
      </c>
    </row>
    <row r="15" spans="1:15" ht="28" customHeight="1" x14ac:dyDescent="0.2">
      <c r="A15" s="3" t="s">
        <v>1043</v>
      </c>
      <c r="B15" s="3" t="s">
        <v>790</v>
      </c>
      <c r="C15" s="3">
        <v>1</v>
      </c>
      <c r="D15" s="5">
        <v>30</v>
      </c>
      <c r="E15" s="3">
        <v>0</v>
      </c>
      <c r="F15" s="3">
        <v>0</v>
      </c>
      <c r="G15" s="3" t="s">
        <v>1829</v>
      </c>
    </row>
    <row r="16" spans="1:15" s="6" customFormat="1" ht="54" customHeight="1" x14ac:dyDescent="0.2">
      <c r="A16" s="6" t="s">
        <v>1836</v>
      </c>
      <c r="B16" s="6" t="s">
        <v>790</v>
      </c>
      <c r="C16" s="6">
        <v>5</v>
      </c>
      <c r="D16" s="6">
        <v>728</v>
      </c>
      <c r="E16" s="6">
        <v>1</v>
      </c>
      <c r="F16" s="6">
        <v>1</v>
      </c>
      <c r="G16" s="6" t="s">
        <v>1831</v>
      </c>
    </row>
    <row r="17" spans="1:7" ht="28" customHeight="1" x14ac:dyDescent="0.2">
      <c r="A17" s="3" t="s">
        <v>844</v>
      </c>
      <c r="B17" s="3" t="s">
        <v>687</v>
      </c>
      <c r="C17" s="3">
        <v>2</v>
      </c>
      <c r="D17" s="5">
        <v>85</v>
      </c>
      <c r="E17" s="3">
        <v>0</v>
      </c>
      <c r="F17" s="3">
        <v>0</v>
      </c>
      <c r="G17" s="3" t="s">
        <v>1830</v>
      </c>
    </row>
    <row r="18" spans="1:7" ht="28" customHeight="1" x14ac:dyDescent="0.2">
      <c r="A18" s="3" t="s">
        <v>690</v>
      </c>
      <c r="B18" s="3" t="s">
        <v>645</v>
      </c>
      <c r="C18" s="3">
        <v>10</v>
      </c>
      <c r="D18" s="3">
        <v>493</v>
      </c>
      <c r="E18" s="3">
        <v>0</v>
      </c>
      <c r="F18" s="3">
        <v>2</v>
      </c>
      <c r="G18" s="3" t="s">
        <v>1831</v>
      </c>
    </row>
    <row r="19" spans="1:7" ht="28" customHeight="1" x14ac:dyDescent="0.2">
      <c r="A19" s="3" t="s">
        <v>802</v>
      </c>
      <c r="B19" s="3" t="s">
        <v>1828</v>
      </c>
      <c r="C19" s="3">
        <v>7</v>
      </c>
      <c r="D19" s="5">
        <v>154</v>
      </c>
      <c r="E19" s="3">
        <v>0</v>
      </c>
      <c r="F19" s="3">
        <v>1</v>
      </c>
      <c r="G19" s="3" t="s">
        <v>1827</v>
      </c>
    </row>
    <row r="20" spans="1:7" ht="28" customHeight="1" x14ac:dyDescent="0.2">
      <c r="A20" s="3" t="s">
        <v>617</v>
      </c>
      <c r="B20" s="3" t="s">
        <v>687</v>
      </c>
      <c r="C20" s="3">
        <v>4</v>
      </c>
      <c r="D20" s="3">
        <v>51</v>
      </c>
      <c r="E20" s="3">
        <v>1</v>
      </c>
      <c r="F20" s="3">
        <v>0</v>
      </c>
      <c r="G20" s="3" t="s">
        <v>1722</v>
      </c>
    </row>
    <row r="21" spans="1:7" ht="28" customHeight="1" x14ac:dyDescent="0.2">
      <c r="A21" s="3" t="s">
        <v>660</v>
      </c>
      <c r="B21" s="3" t="s">
        <v>645</v>
      </c>
      <c r="C21" s="3">
        <v>9</v>
      </c>
      <c r="D21" s="5">
        <v>1314</v>
      </c>
      <c r="E21" s="3">
        <v>3</v>
      </c>
      <c r="F21" s="3">
        <v>2</v>
      </c>
      <c r="G21" s="3" t="s">
        <v>1835</v>
      </c>
    </row>
    <row r="22" spans="1:7" ht="28" customHeight="1" x14ac:dyDescent="0.2">
      <c r="A22" s="3" t="s">
        <v>687</v>
      </c>
      <c r="B22" s="3" t="s">
        <v>687</v>
      </c>
      <c r="C22" s="3">
        <v>3</v>
      </c>
      <c r="D22" s="5">
        <v>1290</v>
      </c>
      <c r="E22" s="3">
        <v>0</v>
      </c>
      <c r="F22" s="3">
        <v>2</v>
      </c>
      <c r="G22" s="3" t="s">
        <v>1830</v>
      </c>
    </row>
    <row r="23" spans="1:7" ht="28" customHeight="1" x14ac:dyDescent="0.2">
      <c r="A23" s="3" t="s">
        <v>627</v>
      </c>
      <c r="B23" s="3" t="s">
        <v>645</v>
      </c>
      <c r="C23" s="3">
        <v>10</v>
      </c>
      <c r="D23" s="3">
        <v>244</v>
      </c>
      <c r="E23" s="3">
        <v>0</v>
      </c>
      <c r="F23" s="3">
        <v>0</v>
      </c>
      <c r="G23" s="3" t="s">
        <v>1831</v>
      </c>
    </row>
    <row r="24" spans="1:7" ht="28" customHeight="1" x14ac:dyDescent="0.2">
      <c r="A24" s="3" t="s">
        <v>927</v>
      </c>
      <c r="B24" s="3" t="s">
        <v>687</v>
      </c>
      <c r="C24" s="3">
        <v>1</v>
      </c>
      <c r="D24" s="3">
        <v>15</v>
      </c>
      <c r="E24" s="3">
        <v>0</v>
      </c>
      <c r="F24" s="3">
        <v>0</v>
      </c>
      <c r="G24" s="3" t="s">
        <v>1835</v>
      </c>
    </row>
    <row r="25" spans="1:7" ht="28" customHeight="1" x14ac:dyDescent="0.2">
      <c r="A25" s="3" t="s">
        <v>719</v>
      </c>
      <c r="B25" s="3" t="s">
        <v>790</v>
      </c>
      <c r="C25" s="3">
        <v>3</v>
      </c>
      <c r="D25" s="3">
        <v>65</v>
      </c>
      <c r="E25" s="3">
        <v>1</v>
      </c>
      <c r="F25" s="3">
        <v>0</v>
      </c>
      <c r="G25" s="3" t="s">
        <v>1830</v>
      </c>
    </row>
    <row r="26" spans="1:7" ht="28" customHeight="1" x14ac:dyDescent="0.2">
      <c r="A26" s="3" t="s">
        <v>672</v>
      </c>
      <c r="B26" s="3" t="s">
        <v>645</v>
      </c>
      <c r="C26" s="3">
        <v>6</v>
      </c>
      <c r="D26" s="3">
        <v>108</v>
      </c>
      <c r="E26" s="3">
        <v>0</v>
      </c>
      <c r="F26" s="3">
        <v>0</v>
      </c>
      <c r="G26" s="3" t="s">
        <v>1835</v>
      </c>
    </row>
    <row r="27" spans="1:7" ht="28" customHeight="1" x14ac:dyDescent="0.2">
      <c r="A27" s="3" t="s">
        <v>1834</v>
      </c>
      <c r="B27" s="3" t="s">
        <v>645</v>
      </c>
      <c r="C27" s="3">
        <v>14</v>
      </c>
      <c r="D27" s="3">
        <v>876</v>
      </c>
      <c r="E27" s="3">
        <v>1</v>
      </c>
      <c r="F27" s="3">
        <v>0</v>
      </c>
      <c r="G27" s="3" t="s">
        <v>1831</v>
      </c>
    </row>
    <row r="28" spans="1:7" ht="28" customHeight="1" x14ac:dyDescent="0.2">
      <c r="A28" s="3" t="s">
        <v>952</v>
      </c>
      <c r="B28" s="3" t="s">
        <v>1828</v>
      </c>
      <c r="C28" s="3">
        <v>1</v>
      </c>
      <c r="D28" s="3">
        <v>15</v>
      </c>
      <c r="E28" s="3">
        <v>0</v>
      </c>
      <c r="F28" s="3">
        <v>0</v>
      </c>
      <c r="G28" s="3" t="s">
        <v>1829</v>
      </c>
    </row>
    <row r="29" spans="1:7" ht="28" customHeight="1" x14ac:dyDescent="0.2">
      <c r="A29" s="3" t="s">
        <v>607</v>
      </c>
      <c r="B29" s="3" t="s">
        <v>645</v>
      </c>
      <c r="C29" s="3">
        <v>14</v>
      </c>
      <c r="D29" s="3">
        <v>212</v>
      </c>
      <c r="E29" s="3">
        <v>1</v>
      </c>
      <c r="F29" s="3">
        <v>0</v>
      </c>
      <c r="G29" s="3" t="s">
        <v>1830</v>
      </c>
    </row>
    <row r="30" spans="1:7" ht="28" customHeight="1" x14ac:dyDescent="0.2">
      <c r="A30" s="3" t="s">
        <v>631</v>
      </c>
      <c r="B30" s="3" t="s">
        <v>790</v>
      </c>
      <c r="C30" s="3">
        <v>37</v>
      </c>
      <c r="D30" s="5">
        <v>8555</v>
      </c>
      <c r="E30" s="3">
        <v>0</v>
      </c>
      <c r="F30" s="3">
        <v>8</v>
      </c>
      <c r="G30" s="3" t="s">
        <v>1833</v>
      </c>
    </row>
    <row r="31" spans="1:7" ht="28" customHeight="1" x14ac:dyDescent="0.2">
      <c r="A31" s="3" t="s">
        <v>1577</v>
      </c>
      <c r="B31" s="3" t="s">
        <v>645</v>
      </c>
      <c r="C31" s="3">
        <v>1</v>
      </c>
      <c r="D31" s="3">
        <v>250</v>
      </c>
      <c r="E31" s="3">
        <v>0</v>
      </c>
      <c r="F31" s="3">
        <v>1</v>
      </c>
      <c r="G31" s="3" t="s">
        <v>1829</v>
      </c>
    </row>
    <row r="32" spans="1:7" ht="28" customHeight="1" x14ac:dyDescent="0.2">
      <c r="A32" s="3" t="s">
        <v>1046</v>
      </c>
      <c r="B32" s="3" t="s">
        <v>645</v>
      </c>
      <c r="C32" s="3">
        <v>1</v>
      </c>
      <c r="D32" s="3">
        <v>14</v>
      </c>
      <c r="E32" s="3">
        <v>1</v>
      </c>
      <c r="F32" s="3">
        <v>0</v>
      </c>
      <c r="G32" s="3" t="s">
        <v>1829</v>
      </c>
    </row>
    <row r="33" spans="1:7" ht="28" customHeight="1" x14ac:dyDescent="0.2">
      <c r="A33" s="3" t="s">
        <v>648</v>
      </c>
      <c r="B33" s="3" t="s">
        <v>1828</v>
      </c>
      <c r="C33" s="3">
        <v>21</v>
      </c>
      <c r="D33" s="3">
        <v>809</v>
      </c>
      <c r="E33" s="3">
        <v>3</v>
      </c>
      <c r="F33" s="3">
        <v>2</v>
      </c>
      <c r="G33" s="3" t="s">
        <v>1827</v>
      </c>
    </row>
    <row r="34" spans="1:7" ht="28" customHeight="1" x14ac:dyDescent="0.2">
      <c r="A34" s="3" t="s">
        <v>729</v>
      </c>
      <c r="B34" s="3" t="s">
        <v>687</v>
      </c>
      <c r="C34" s="3">
        <v>5</v>
      </c>
      <c r="D34" s="5">
        <v>2999</v>
      </c>
      <c r="E34" s="3">
        <v>0</v>
      </c>
      <c r="F34" s="3">
        <v>1</v>
      </c>
      <c r="G34" s="3" t="s">
        <v>1722</v>
      </c>
    </row>
    <row r="35" spans="1:7" ht="28" customHeight="1" x14ac:dyDescent="0.2">
      <c r="A35" s="3" t="s">
        <v>666</v>
      </c>
      <c r="B35" s="3" t="s">
        <v>790</v>
      </c>
      <c r="C35" s="3">
        <v>13</v>
      </c>
      <c r="D35" s="3">
        <v>269</v>
      </c>
      <c r="E35" s="3">
        <v>1</v>
      </c>
      <c r="F35" s="3">
        <v>0</v>
      </c>
      <c r="G35" s="3" t="s">
        <v>22</v>
      </c>
    </row>
    <row r="36" spans="1:7" ht="28" customHeight="1" x14ac:dyDescent="0.2">
      <c r="A36" s="3" t="s">
        <v>779</v>
      </c>
      <c r="B36" s="3" t="s">
        <v>790</v>
      </c>
      <c r="C36" s="3">
        <v>5</v>
      </c>
      <c r="D36" s="3">
        <v>83</v>
      </c>
      <c r="E36" s="3">
        <v>1</v>
      </c>
      <c r="F36" s="3">
        <v>0</v>
      </c>
      <c r="G36" s="3" t="s">
        <v>1830</v>
      </c>
    </row>
    <row r="37" spans="1:7" ht="28" customHeight="1" x14ac:dyDescent="0.2">
      <c r="A37" s="3" t="s">
        <v>766</v>
      </c>
      <c r="B37" s="3" t="s">
        <v>790</v>
      </c>
      <c r="C37" s="3">
        <v>4</v>
      </c>
      <c r="D37" s="3">
        <v>68</v>
      </c>
      <c r="E37" s="3">
        <v>1</v>
      </c>
      <c r="F37" s="3">
        <v>0</v>
      </c>
      <c r="G37" s="3" t="s">
        <v>1830</v>
      </c>
    </row>
    <row r="38" spans="1:7" ht="28" customHeight="1" x14ac:dyDescent="0.2">
      <c r="A38" s="3" t="s">
        <v>645</v>
      </c>
      <c r="B38" s="3" t="s">
        <v>645</v>
      </c>
      <c r="C38" s="3">
        <v>11</v>
      </c>
      <c r="D38" s="3">
        <v>229</v>
      </c>
      <c r="E38" s="3">
        <v>0</v>
      </c>
      <c r="F38" s="3">
        <v>0</v>
      </c>
      <c r="G38" s="3" t="s">
        <v>1831</v>
      </c>
    </row>
    <row r="39" spans="1:7" ht="28" customHeight="1" x14ac:dyDescent="0.2">
      <c r="A39" s="3" t="s">
        <v>790</v>
      </c>
      <c r="B39" s="3" t="s">
        <v>790</v>
      </c>
      <c r="C39" s="3">
        <v>2</v>
      </c>
      <c r="D39" s="3">
        <v>90</v>
      </c>
      <c r="E39" s="3">
        <v>2</v>
      </c>
      <c r="F39" s="3">
        <v>0</v>
      </c>
      <c r="G39" s="3" t="s">
        <v>1830</v>
      </c>
    </row>
    <row r="40" spans="1:7" ht="28" customHeight="1" x14ac:dyDescent="0.2">
      <c r="A40" s="3" t="s">
        <v>657</v>
      </c>
      <c r="B40" s="3" t="s">
        <v>687</v>
      </c>
      <c r="C40" s="3">
        <v>12</v>
      </c>
      <c r="D40" s="3">
        <v>457</v>
      </c>
      <c r="E40" s="3">
        <v>1</v>
      </c>
      <c r="F40" s="3">
        <v>0</v>
      </c>
      <c r="G40" s="3" t="s">
        <v>1722</v>
      </c>
    </row>
    <row r="41" spans="1:7" ht="28" customHeight="1" x14ac:dyDescent="0.2">
      <c r="A41" s="3" t="s">
        <v>600</v>
      </c>
      <c r="B41" s="3" t="s">
        <v>687</v>
      </c>
      <c r="C41" s="3">
        <v>5</v>
      </c>
      <c r="D41" s="3">
        <v>288</v>
      </c>
      <c r="E41" s="3">
        <v>0</v>
      </c>
      <c r="F41" s="3">
        <v>1</v>
      </c>
      <c r="G41" s="3" t="s">
        <v>1827</v>
      </c>
    </row>
    <row r="42" spans="1:7" ht="28" customHeight="1" x14ac:dyDescent="0.2">
      <c r="A42" s="3" t="s">
        <v>986</v>
      </c>
      <c r="B42" s="3" t="s">
        <v>790</v>
      </c>
      <c r="C42" s="3">
        <v>1</v>
      </c>
      <c r="D42" s="3">
        <v>13</v>
      </c>
      <c r="E42" s="3">
        <v>1</v>
      </c>
      <c r="F42" s="3">
        <v>0</v>
      </c>
      <c r="G42" s="3" t="s">
        <v>1829</v>
      </c>
    </row>
    <row r="43" spans="1:7" ht="28" customHeight="1" x14ac:dyDescent="0.2">
      <c r="A43" s="3" t="s">
        <v>989</v>
      </c>
      <c r="B43" s="3" t="s">
        <v>645</v>
      </c>
      <c r="C43" s="3">
        <v>1</v>
      </c>
      <c r="D43" s="3">
        <v>9</v>
      </c>
      <c r="E43" s="3">
        <v>1</v>
      </c>
      <c r="F43" s="3">
        <v>0</v>
      </c>
      <c r="G43" s="3" t="s">
        <v>1829</v>
      </c>
    </row>
    <row r="44" spans="1:7" ht="28" customHeight="1" x14ac:dyDescent="0.2">
      <c r="A44" s="3" t="s">
        <v>1832</v>
      </c>
      <c r="B44" s="3" t="s">
        <v>1832</v>
      </c>
      <c r="C44" s="3">
        <v>1</v>
      </c>
      <c r="D44" s="3">
        <v>15</v>
      </c>
      <c r="E44" s="3">
        <v>0</v>
      </c>
      <c r="F44" s="3">
        <v>0</v>
      </c>
      <c r="G44" s="3" t="s">
        <v>1829</v>
      </c>
    </row>
    <row r="45" spans="1:7" ht="28" customHeight="1" x14ac:dyDescent="0.2">
      <c r="A45" s="3" t="s">
        <v>704</v>
      </c>
      <c r="B45" s="3" t="s">
        <v>645</v>
      </c>
      <c r="C45" s="3">
        <v>9</v>
      </c>
      <c r="D45" s="3">
        <v>492</v>
      </c>
      <c r="E45" s="3">
        <v>0</v>
      </c>
      <c r="F45" s="3">
        <v>2</v>
      </c>
      <c r="G45" s="3" t="s">
        <v>1831</v>
      </c>
    </row>
    <row r="46" spans="1:7" ht="28" customHeight="1" x14ac:dyDescent="0.2">
      <c r="A46" s="3" t="s">
        <v>603</v>
      </c>
      <c r="B46" s="3" t="s">
        <v>790</v>
      </c>
      <c r="C46" s="3">
        <v>17</v>
      </c>
      <c r="D46" s="3">
        <v>508</v>
      </c>
      <c r="E46" s="3">
        <v>5</v>
      </c>
      <c r="F46" s="3">
        <v>0</v>
      </c>
      <c r="G46" s="3" t="s">
        <v>1722</v>
      </c>
    </row>
    <row r="47" spans="1:7" ht="28" customHeight="1" x14ac:dyDescent="0.2">
      <c r="A47" s="3" t="s">
        <v>663</v>
      </c>
      <c r="B47" s="3" t="s">
        <v>687</v>
      </c>
      <c r="C47" s="3">
        <v>12</v>
      </c>
      <c r="D47" s="3">
        <v>124</v>
      </c>
      <c r="E47" s="3">
        <v>1</v>
      </c>
      <c r="F47" s="3">
        <v>0</v>
      </c>
      <c r="G47" s="3" t="s">
        <v>1827</v>
      </c>
    </row>
    <row r="48" spans="1:7" ht="28" customHeight="1" x14ac:dyDescent="0.2">
      <c r="A48" s="3" t="s">
        <v>733</v>
      </c>
      <c r="B48" s="3" t="s">
        <v>687</v>
      </c>
      <c r="C48" s="3">
        <v>6</v>
      </c>
      <c r="D48" s="3">
        <v>42</v>
      </c>
      <c r="E48" s="3">
        <v>0</v>
      </c>
      <c r="F48" s="3">
        <v>0</v>
      </c>
      <c r="G48" s="3" t="s">
        <v>1827</v>
      </c>
    </row>
    <row r="49" spans="1:7" ht="28" customHeight="1" x14ac:dyDescent="0.2">
      <c r="A49" s="3" t="s">
        <v>871</v>
      </c>
      <c r="B49" s="3" t="s">
        <v>687</v>
      </c>
      <c r="C49" s="3">
        <v>1</v>
      </c>
      <c r="D49" s="3">
        <v>5</v>
      </c>
      <c r="E49" s="3">
        <v>0</v>
      </c>
      <c r="F49" s="3">
        <v>0</v>
      </c>
      <c r="G49" s="3" t="s">
        <v>1829</v>
      </c>
    </row>
    <row r="50" spans="1:7" ht="28" customHeight="1" x14ac:dyDescent="0.2">
      <c r="A50" s="3" t="s">
        <v>590</v>
      </c>
      <c r="B50" s="3" t="s">
        <v>687</v>
      </c>
      <c r="C50" s="3">
        <v>5</v>
      </c>
      <c r="D50" s="3">
        <v>204</v>
      </c>
      <c r="E50" s="3">
        <v>1</v>
      </c>
      <c r="F50" s="3">
        <v>0</v>
      </c>
      <c r="G50" s="3" t="s">
        <v>1830</v>
      </c>
    </row>
    <row r="51" spans="1:7" ht="28" customHeight="1" x14ac:dyDescent="0.2">
      <c r="A51" s="3" t="s">
        <v>933</v>
      </c>
      <c r="B51" s="3" t="s">
        <v>1829</v>
      </c>
      <c r="C51" s="3">
        <v>1</v>
      </c>
      <c r="D51" s="3">
        <v>40</v>
      </c>
      <c r="E51" s="3">
        <v>0</v>
      </c>
      <c r="F51" s="3">
        <v>0</v>
      </c>
      <c r="G51" s="3" t="s">
        <v>1829</v>
      </c>
    </row>
    <row r="52" spans="1:7" ht="28" customHeight="1" x14ac:dyDescent="0.2">
      <c r="A52" s="3" t="s">
        <v>623</v>
      </c>
      <c r="B52" s="3" t="s">
        <v>1828</v>
      </c>
      <c r="C52" s="3">
        <v>22</v>
      </c>
      <c r="D52" s="3">
        <v>489</v>
      </c>
      <c r="E52" s="3">
        <v>3</v>
      </c>
      <c r="F52" s="3">
        <v>0</v>
      </c>
      <c r="G52" s="3" t="s">
        <v>1827</v>
      </c>
    </row>
    <row r="53" spans="1:7" s="4" customFormat="1" ht="28" customHeight="1" x14ac:dyDescent="0.25">
      <c r="A53" s="4" t="s">
        <v>1826</v>
      </c>
      <c r="C53" s="4">
        <f>SUM(C2:C52)</f>
        <v>440</v>
      </c>
      <c r="D53" s="4">
        <f>SUM(D2:D52)</f>
        <v>33641</v>
      </c>
      <c r="E53" s="4">
        <f>SUM(E2:E52)</f>
        <v>49</v>
      </c>
      <c r="F53" s="4">
        <f>SUM(F2:F52)</f>
        <v>38</v>
      </c>
    </row>
  </sheetData>
  <autoFilter ref="A1:O1" xr:uid="{00000000-0009-0000-0000-000007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Sheet2</vt:lpstr>
      <vt:lpstr>CE_Event Tracker</vt:lpstr>
      <vt:lpstr>FY 24-25 CE Cities-Engagements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lucynda young</dc:creator>
  <cp:lastModifiedBy>lucynda young</cp:lastModifiedBy>
  <dcterms:created xsi:type="dcterms:W3CDTF">2026-02-26T03:32:48Z</dcterms:created>
  <dcterms:modified xsi:type="dcterms:W3CDTF">2026-04-11T18:41:26Z</dcterms:modified>
</cp:coreProperties>
</file>